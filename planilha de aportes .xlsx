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ESSOAL\"/>
    </mc:Choice>
  </mc:AlternateContent>
  <xr:revisionPtr revIDLastSave="0" documentId="13_ncr:1_{0BA7B089-538C-4A51-87FC-4D2A985E9263}" xr6:coauthVersionLast="47" xr6:coauthVersionMax="47" xr10:uidLastSave="{00000000-0000-0000-0000-000000000000}"/>
  <bookViews>
    <workbookView xWindow="11856" yWindow="12852" windowWidth="23256" windowHeight="12456" xr2:uid="{319B720B-611D-4344-8D40-EEFA2C679EE0}"/>
  </bookViews>
  <sheets>
    <sheet name="RESUMO" sheetId="1" r:id="rId1"/>
    <sheet name="ACUMULADO 2025" sheetId="2" r:id="rId2"/>
    <sheet name="ACUMULADO 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 s="1"/>
  <c r="B14" i="1"/>
  <c r="B15" i="1" s="1"/>
  <c r="D2" i="3"/>
  <c r="D2" i="2"/>
</calcChain>
</file>

<file path=xl/sharedStrings.xml><?xml version="1.0" encoding="utf-8"?>
<sst xmlns="http://schemas.openxmlformats.org/spreadsheetml/2006/main" count="23" uniqueCount="20">
  <si>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</si>
  <si>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</si>
  <si>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</si>
  <si>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</si>
  <si>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</si>
  <si>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</si>
  <si>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</si>
  <si>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</si>
  <si>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>Stembro</t>
  </si>
  <si>
    <t>Outubro</t>
  </si>
  <si>
    <t>Novembro</t>
  </si>
  <si>
    <t>Dezembro</t>
  </si>
  <si>
    <t>Total</t>
  </si>
  <si>
    <t>Avg</t>
  </si>
  <si>
    <t>Ricco</t>
  </si>
  <si>
    <t>Santander</t>
  </si>
  <si>
    <t>TOTAL</t>
  </si>
  <si>
    <t>APORTES 2025</t>
  </si>
  <si>
    <t>APORTES 2026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</si>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</sst>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0" applyNumberFormat="1"/>
    <xf numFmtId="0" fontId="0" fillId="0" borderId="1" xfId="0" applyBorder="1"/>
    <xf numFmtId="43" fontId="0" fillId="0" borderId="1" xfId="1" applyFont="1" applyBorder="1"/>
    <xf numFmtId="0" fontId="2" fillId="0" borderId="1" xfId="0" applyFont="1" applyBorder="1" applyAlignment="1">
      <alignment horizontal="center"/>
    </xf>
    <xf numFmtId="43" fontId="2" fillId="0" borderId="1" xfId="1" applyFont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</c:rich>
      </c:tx>
      <c:layout>
        <c:manualLayout>
          <c:xMode val="edge"/>
          <c:yMode val="edge"/>
          <c:x val="0.4612012248468941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3F-4AFC-8173-41D7C9B2F3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3F-4AFC-8173-41D7C9B2F3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'ACUMULADO 2025'!$B$1:$C$1</c:f>
              <c:strCache>
                <c:ptCount val="2"/>
                <c:pt idx="0">
                  <c:v>Ricco</c:v>
                </c:pt>
                <c:pt idx="1">
                  <c:v>Santander</c:v>
                </c:pt>
              </c:strCache>
            </c:strRef>
          </c:cat>
          <c:val>
            <c:numRef>
              <c:f>'ACUMULADO 2025'!$B$2:$C$2</c:f>
              <c:numCache>
                <c:formatCode>_(* #,##0.00_);_(* \(#,##0.00\);_(* "-"??_);_(@_)</c:formatCode>
                <c:ptCount val="2"/>
                <c:pt idx="0">
                  <c:v>28000</c:v>
                </c:pt>
                <c:pt idx="1">
                  <c:v>177000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B-4DF0-9E85-778D1B45C43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175260</xdr:rowOff>
    </xdr:from>
    <xdr:to>
      <xdr:col>12</xdr:col>
      <xdr:colOff>563880</xdr:colOff>
      <xdr:row>15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6F45A2-4C72-C374-7208-A937C4215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83E3-6142-4DA5-97AD-C759A6F5FD6F}">
  <dimension ref="A1:E16"/>
  <sheetViews>
    <sheetView tabSelected="1" workbookViewId="0">
      <selection activeCell="F9" sqref="F9"/>
    </sheetView>
  </sheetViews>
  <sheetFormatPr defaultRowHeight="15" x14ac:dyDescent="0.25"/>
  <cols>
    <col min="1" max="1" width="10.140625" bestFit="1" customWidth="1"/>
    <col min="2" max="3" width="13.85546875" bestFit="1" customWidth="1"/>
    <col min="5" max="5" width="9.5703125" bestFit="1" customWidth="1"/>
  </cols>
  <sheetData>
    <row r="1" spans="1:5" x14ac:dyDescent="0.25">
      <c r="A1" s="6" t="s">
        <v>19</v>
      </c>
      <c r="B1" s="6" t="s">
        <v>17</v>
      </c>
      <c r="C1" s="6" t="s">
        <v>18</v>
      </c>
    </row>
    <row r="2" spans="1:5" x14ac:dyDescent="0.25">
      <c r="A2" s="2" t="s">
        <v>0</v>
      </c>
      <c r="B2" s="3">
        <v>20900</v>
      </c>
      <c r="C2" s="3">
        <v>38000</v>
      </c>
    </row>
    <row r="3" spans="1:5" x14ac:dyDescent="0.25">
      <c r="A3" s="2" t="s">
        <v>1</v>
      </c>
      <c r="B3" s="3">
        <v>43700</v>
      </c>
      <c r="C3" s="3">
        <v>4400</v>
      </c>
    </row>
    <row r="4" spans="1:5" x14ac:dyDescent="0.25">
      <c r="A4" s="2" t="s">
        <v>2</v>
      </c>
      <c r="B4" s="3">
        <v>5300</v>
      </c>
      <c r="C4" s="3">
        <v>3400</v>
      </c>
    </row>
    <row r="5" spans="1:5" x14ac:dyDescent="0.25">
      <c r="A5" s="2" t="s">
        <v>3</v>
      </c>
      <c r="B5" s="3">
        <v>4500</v>
      </c>
      <c r="C5" s="3">
        <v>4500</v>
      </c>
    </row>
    <row r="6" spans="1:5" x14ac:dyDescent="0.25">
      <c r="A6" s="2" t="s">
        <v>4</v>
      </c>
      <c r="B6" s="3">
        <v>-900</v>
      </c>
      <c r="C6" s="2"/>
    </row>
    <row r="7" spans="1:5" x14ac:dyDescent="0.25">
      <c r="A7" s="2" t="s">
        <v>5</v>
      </c>
      <c r="B7" s="3">
        <v>3700</v>
      </c>
      <c r="C7" s="2"/>
      <c r="E7" s="1"/>
    </row>
    <row r="8" spans="1:5" x14ac:dyDescent="0.25">
      <c r="A8" s="2" t="s">
        <v>6</v>
      </c>
      <c r="B8" s="3">
        <v>2900</v>
      </c>
      <c r="C8" s="2"/>
    </row>
    <row r="9" spans="1:5" x14ac:dyDescent="0.25">
      <c r="A9" s="2" t="s">
        <v>7</v>
      </c>
      <c r="B9" s="3">
        <v>4300</v>
      </c>
      <c r="C9" s="2"/>
    </row>
    <row r="10" spans="1:5" x14ac:dyDescent="0.25">
      <c r="A10" s="2" t="s">
        <v>8</v>
      </c>
      <c r="B10" s="3">
        <v>1800</v>
      </c>
      <c r="C10" s="2"/>
    </row>
    <row r="11" spans="1:5" x14ac:dyDescent="0.25">
      <c r="A11" s="2" t="s">
        <v>9</v>
      </c>
      <c r="B11" s="3">
        <v>2300</v>
      </c>
      <c r="C11" s="2"/>
    </row>
    <row r="12" spans="1:5" x14ac:dyDescent="0.25">
      <c r="A12" s="2" t="s">
        <v>10</v>
      </c>
      <c r="B12" s="3">
        <v>10000</v>
      </c>
      <c r="C12" s="2"/>
    </row>
    <row r="13" spans="1:5" x14ac:dyDescent="0.25">
      <c r="A13" s="2" t="s">
        <v>11</v>
      </c>
      <c r="B13" s="3">
        <v>5000</v>
      </c>
      <c r="C13" s="2"/>
    </row>
    <row r="14" spans="1:5" x14ac:dyDescent="0.25">
      <c r="A14" s="6" t="s">
        <v>12</v>
      </c>
      <c r="B14" s="5">
        <f>SUM(B2:B13)</f>
        <v>103500</v>
      </c>
      <c r="C14" s="5">
        <f>SUM(C2:C13)</f>
        <v>50300</v>
      </c>
    </row>
    <row r="15" spans="1:5" x14ac:dyDescent="0.25">
      <c r="A15" s="6" t="s">
        <v>13</v>
      </c>
      <c r="B15" s="5">
        <f>B14/12</f>
        <v>8625</v>
      </c>
      <c r="C15" s="5">
        <f>C14/12</f>
        <v>4191.666666666667</v>
      </c>
    </row>
    <row r="16" spans="1:5" x14ac:dyDescent="0.25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7F0B-351C-442A-8002-46B177296FF6}">
  <dimension ref="A1:D2"/>
  <sheetViews>
    <sheetView workbookViewId="0">
      <selection activeCell="O5" sqref="O5"/>
    </sheetView>
  </sheetViews>
  <sheetFormatPr defaultRowHeight="15" x14ac:dyDescent="0.25"/>
  <cols>
    <col min="2" max="2" width="10.5703125" bestFit="1" customWidth="1"/>
    <col min="3" max="4" width="11.5703125" bestFit="1" customWidth="1"/>
  </cols>
  <sheetData>
    <row r="1" spans="1:4" x14ac:dyDescent="0.25">
      <c r="A1" s="2"/>
      <c r="B1" s="4" t="s">
        <v>14</v>
      </c>
      <c r="C1" s="4" t="s">
        <v>15</v>
      </c>
      <c r="D1" s="4" t="s">
        <v>16</v>
      </c>
    </row>
    <row r="2" spans="1:4" x14ac:dyDescent="0.25">
      <c r="A2" s="4">
        <v>2025</v>
      </c>
      <c r="B2" s="3">
        <v>28000</v>
      </c>
      <c r="C2" s="3">
        <v>177000</v>
      </c>
      <c r="D2" s="3">
        <f>SUM(B2:C2)</f>
        <v>205000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BC9D-ED14-4449-A4A3-B4E6E8E1341F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 s="2"/>
      <c r="B1" s="4" t="s">
        <v>14</v>
      </c>
      <c r="C1" s="4" t="s">
        <v>15</v>
      </c>
      <c r="D1" s="4" t="s">
        <v>16</v>
      </c>
    </row>
    <row r="2" spans="1:4" x14ac:dyDescent="0.25">
      <c r="A2" s="4">
        <v>2026</v>
      </c>
      <c r="B2" s="3"/>
      <c r="C2" s="3"/>
      <c r="D2" s="3">
        <f>SUM(B2:C2)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ACUMULADO 2025</vt:lpstr>
      <vt:lpstr>ACUMULADO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Ferreira  ( M. SAFRA &amp; CO )</dc:creator>
  <cp:lastModifiedBy>Gustavo Ferreira  ( M. SAFRA &amp; CO )</cp:lastModifiedBy>
  <dcterms:created xsi:type="dcterms:W3CDTF">2026-01-06T14:40:48Z</dcterms:created>
  <dcterms:modified xsi:type="dcterms:W3CDTF">2026-04-01T18:54:34Z</dcterms:modified>
</cp:coreProperties>
</file>