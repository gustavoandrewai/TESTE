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afra-my.sharepoint.com/personal/ferreira_msafra_com_br/Documents/Documents/"/>
    </mc:Choice>
  </mc:AlternateContent>
  <xr:revisionPtr revIDLastSave="100" documentId="13_ncr:1_{A35AF4B2-C64F-426D-9298-8EBC2DAA977A}" xr6:coauthVersionLast="47" xr6:coauthVersionMax="47" xr10:uidLastSave="{7C4D83F7-2A22-4A85-A964-C469364078D5}"/>
  <bookViews>
    <workbookView xWindow="-120" yWindow="-120" windowWidth="29040" windowHeight="15720" xr2:uid="{545A8590-C783-4B9D-B236-789471D263E3}"/>
  </bookViews>
  <sheets>
    <sheet name="RESUMO" sheetId="12" r:id="rId1"/>
    <sheet name="BASE" sheetId="7" r:id="rId2"/>
  </sheets>
  <definedNames>
    <definedName name="_xlnm._FilterDatabase" localSheetId="1" hidden="1">BASE!$A$1:$P$249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<sst xmlns="http://schemas.openxmlformats.org/spreadsheetml/2006/main" count="1180" uniqueCount="129">
  <si>
    <t>BusUnit</t>
  </si>
  <si>
    <t>Strat</t>
  </si>
  <si>
    <t>BasketInv</t>
  </si>
  <si>
    <t>Investment</t>
  </si>
  <si>
    <t>Description</t>
  </si>
  <si>
    <t>Ending Quantity</t>
  </si>
  <si>
    <t>Curr</t>
  </si>
  <si>
    <t>Ending Local Price</t>
  </si>
  <si>
    <t>Realized Price</t>
  </si>
  <si>
    <t>Unrealized Price</t>
  </si>
  <si>
    <t>Realized FX</t>
  </si>
  <si>
    <t>Unrealized FX</t>
  </si>
  <si>
    <t>Interest</t>
  </si>
  <si>
    <t>Dividend</t>
  </si>
  <si>
    <t>Other Income</t>
  </si>
  <si>
    <t>Total</t>
  </si>
  <si>
    <t>USD</t>
  </si>
  <si>
    <t>EUR</t>
  </si>
  <si>
    <t>BRAZIL 6.625 03/15/35</t>
  </si>
  <si>
    <t>BRAZIL 7.25 01/12/56</t>
  </si>
  <si>
    <t>CDX HY45 5pct 20 DEC 2030 V2</t>
  </si>
  <si>
    <t>Euro</t>
  </si>
  <si>
    <t>SEB V6.875 PERP</t>
  </si>
  <si>
    <t>SWEDA V7.625 PERP</t>
  </si>
  <si>
    <t>U.S. Dollars</t>
  </si>
  <si>
    <t>Row Labels</t>
  </si>
  <si>
    <t>Grand Total</t>
  </si>
  <si>
    <t>Sum of Total</t>
  </si>
  <si>
    <t>TYM6</t>
  </si>
  <si>
    <t>DANBNK V4.375 PERP</t>
  </si>
  <si>
    <t>SHBASS V4.375 PERP</t>
  </si>
  <si>
    <t>CDX HY46 5pct 20 JUN 2031</t>
  </si>
  <si>
    <t>Credit</t>
  </si>
  <si>
    <t>ARAMCO 5 02/02/36 REGS</t>
  </si>
  <si>
    <t>ARAMCO 5.75 07/17/54 REGS</t>
  </si>
  <si>
    <t>ARAMCO 6 02/02/56 REGS</t>
  </si>
  <si>
    <t>ASNBNK 7 PERP</t>
  </si>
  <si>
    <t>AZURGY 8.25 01/22/31 REGS</t>
  </si>
  <si>
    <t>AZURGY 8.625 01/22/33 REGS</t>
  </si>
  <si>
    <t>BANQUE V7.25 PERP</t>
  </si>
  <si>
    <t>BAYNGR V7 09/25/83</t>
  </si>
  <si>
    <t>BGARIA 3.375 07/18/35 10Y</t>
  </si>
  <si>
    <t>BGARIA 4.125 07/18/45 20Y</t>
  </si>
  <si>
    <t>BNCN 6.3 01/15/55</t>
  </si>
  <si>
    <t>BNP V5.625 PERP GMTN</t>
  </si>
  <si>
    <t>BNP V7.375 PERP REGS</t>
  </si>
  <si>
    <t>BNP V8 PERP REGS</t>
  </si>
  <si>
    <t>BRAZIL 5.5 02/04/33 Corp</t>
  </si>
  <si>
    <t>BRAZIL 6.25 05/22/36</t>
  </si>
  <si>
    <t>CCBGBB V6.125 PERP</t>
  </si>
  <si>
    <t>CDEL 6.33 01/13/35</t>
  </si>
  <si>
    <t>CDEL 6.78 01/13/55</t>
  </si>
  <si>
    <t>CDS BRAZIL 1pct 20 DEC 2030</t>
  </si>
  <si>
    <t>CDS BRAZIL 1pct 20 JUN 2031</t>
  </si>
  <si>
    <t>CDS COLOM 1pct 20 DEC 2030</t>
  </si>
  <si>
    <t>CDS COLOM 1pct 20 JUN 2031</t>
  </si>
  <si>
    <t>CDS SAUDI 1pct 20 DEC 2030</t>
  </si>
  <si>
    <t>CDX HY45 5pct 20 DEC 2030</t>
  </si>
  <si>
    <t>CDX IG 43 3%-7% Tranche</t>
  </si>
  <si>
    <t>CDX IG 45 3%-7% Tranche</t>
  </si>
  <si>
    <t>CDX IG45 1pct 20 DEC 2030</t>
  </si>
  <si>
    <t>CDX IG46 1pct 20 JUN 2031</t>
  </si>
  <si>
    <t>CDX ITR-XOVER S44 5pct 20 DEC 2030</t>
  </si>
  <si>
    <t>CDX ITR-XOVER S45 5pct 20 JUN 2031</t>
  </si>
  <si>
    <t>CDX ITRX EUR SUB FIN 1pct 20 DEC 2030</t>
  </si>
  <si>
    <t>CDX ITRX EUROPE 1pct 20 DEC 2030</t>
  </si>
  <si>
    <t>CDX ITRX EUROPE 1pct 20 JUN 2031</t>
  </si>
  <si>
    <t>COLOM 4.5 11/26/30</t>
  </si>
  <si>
    <t>COLOM 5 09/19/32</t>
  </si>
  <si>
    <t>COLOM 5.625 02/19/36</t>
  </si>
  <si>
    <t>COLOM 5.75 11/26/34</t>
  </si>
  <si>
    <t>COLOM 6.5 11/26/38</t>
  </si>
  <si>
    <t>COLOM 7.5 02/02/34</t>
  </si>
  <si>
    <t>COLOM 8 11/14/35</t>
  </si>
  <si>
    <t>COLOM 8.375 11/07/54</t>
  </si>
  <si>
    <t>DNBNO V7.375 PERP EMTN</t>
  </si>
  <si>
    <t>DNONO 10.75 06/17/85 1235</t>
  </si>
  <si>
    <t>ECOPET 5.875 05/28/45</t>
  </si>
  <si>
    <t>ECOPET 5.875 11/02/51</t>
  </si>
  <si>
    <t>ECOPET 7.75 02/01/32</t>
  </si>
  <si>
    <t>ECOPET 8.375 01/19/36</t>
  </si>
  <si>
    <t>ECOPET 8.875 01/13/33</t>
  </si>
  <si>
    <t>EDF V4.375 PERP EMTN</t>
  </si>
  <si>
    <t>EDF V9.125 PERP REGS</t>
  </si>
  <si>
    <t>ENAPCL 5.95 07/30/34 REGS</t>
  </si>
  <si>
    <t>ENAPCL 6.15 05/10/33</t>
  </si>
  <si>
    <t>FRLBP V3 PERP</t>
  </si>
  <si>
    <t>ISRAEL 3.8 05/13/60</t>
  </si>
  <si>
    <t>ISRAEL 4.5 04/03/20</t>
  </si>
  <si>
    <t>ISRAEL 5.75 03/12/54</t>
  </si>
  <si>
    <t>ITAU V3.875 04/15/31 REGS</t>
  </si>
  <si>
    <t>KSA 4.5 04/22/60 REGS</t>
  </si>
  <si>
    <t>KSA 5 01/18/53 REGS</t>
  </si>
  <si>
    <t>KSA 5.875 01/12/56 REGS</t>
  </si>
  <si>
    <t>MEX 4.75 03/22/31</t>
  </si>
  <si>
    <t>MEX 5.375 03/22/33</t>
  </si>
  <si>
    <t>MEX 5.5 08/17/30</t>
  </si>
  <si>
    <t>MEX 5.625 09/22/35</t>
  </si>
  <si>
    <t>NDAFH V3.75 PERP REGS</t>
  </si>
  <si>
    <t>NDAFH V6.625 PERP REGS</t>
  </si>
  <si>
    <t>NDAFH V6.75 PERP REGS</t>
  </si>
  <si>
    <t>NESFIR 8 09/30/29</t>
  </si>
  <si>
    <t>NESFIR 8 09/30/29 V2</t>
  </si>
  <si>
    <t>PEMEX 6.5 01/23/29</t>
  </si>
  <si>
    <t>PEMEX 6.625 06/15/35</t>
  </si>
  <si>
    <t>PEMEX 6.84 01/23/30</t>
  </si>
  <si>
    <t>PEMEX 8.75 06/02/29</t>
  </si>
  <si>
    <t>POLAND 2.875 01/15/31 EmTn</t>
  </si>
  <si>
    <t>POLAND 3.625 06/15/36 EMTN</t>
  </si>
  <si>
    <t>ROMANI 4.625 03/04/33 REGS</t>
  </si>
  <si>
    <t>ROMANI 5.375 06/07/33 REGS</t>
  </si>
  <si>
    <t>ROMANI 5.75 07/04/36 REGS</t>
  </si>
  <si>
    <t>ROMANI 6 09/24/44 REGS</t>
  </si>
  <si>
    <t>ROMANI 6.125 10/07/37 REGS</t>
  </si>
  <si>
    <t>ROMANI 6.25 09/10/34 REGS</t>
  </si>
  <si>
    <t>ROMANI 6.5 10/07/45 REGS</t>
  </si>
  <si>
    <t>ROMANI 6.75 07/11/39 REGS</t>
  </si>
  <si>
    <t>SHBASS V4.75 PERP</t>
  </si>
  <si>
    <t>SOCGEN V8.125 PERP REGS</t>
  </si>
  <si>
    <t>SWEDA V7.75 PERP</t>
  </si>
  <si>
    <t>T 4.25 11/15/34</t>
  </si>
  <si>
    <t>US TREASURY NOTE BILL 4.25 15 NOV 34</t>
  </si>
  <si>
    <t>TGSNO 8.5 01/15/30 144A</t>
  </si>
  <si>
    <t>TGSNO 8.5 01/15/30 REGS</t>
  </si>
  <si>
    <t>TVLRO V7.125 PERP</t>
  </si>
  <si>
    <t>TYH6</t>
  </si>
  <si>
    <t>VKFP 7.5 04/15/32 REGS</t>
  </si>
  <si>
    <t>YPANBR 8.947 07/31/42 REGS</t>
  </si>
  <si>
    <t>YPMQBR 8.498 01/31/45 REGS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</si>
</sst>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1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1"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 Ferreira  ( M. SAFRA &amp; CO )" refreshedDate="46111.554480902778" createdVersion="8" refreshedVersion="8" minRefreshableVersion="3" recordCount="211" xr:uid="{74B86D41-E842-4A32-9EFC-ED1B1B027334}">
  <cacheSource type="worksheet">
    <worksheetSource ref="A1:P212" sheet="BASE"/>
  </cacheSource>
  <cacheFields count="16">
    <cacheField name="BusUnit" numFmtId="0">
      <sharedItems/>
    </cacheField>
    <cacheField name="Strat" numFmtId="0">
      <sharedItems/>
    </cacheField>
    <cacheField name="BasketInv" numFmtId="0">
      <sharedItems containsNonDate="0" containsString="0" containsBlank="1"/>
    </cacheField>
    <cacheField name="Investment" numFmtId="0">
      <sharedItems count="106">
        <s v="ARAMCO 5 02/02/36 REGS"/>
        <s v="ARAMCO 5.75 07/17/54 REGS"/>
        <s v="ARAMCO 6 02/02/56 REGS"/>
        <s v="ASNBNK 7 PERP"/>
        <s v="AZURGY 8.25 01/22/31 REGS"/>
        <s v="AZURGY 8.625 01/22/33 REGS"/>
        <s v="BANQUE V7.25 PERP"/>
        <s v="BAYNGR V7 09/25/83"/>
        <s v="BGARIA 3.375 07/18/35 10Y"/>
        <s v="BGARIA 4.125 07/18/45 20Y"/>
        <s v="BNCN 6.3 01/15/55"/>
        <s v="BNP V5.625 PERP GMTN"/>
        <s v="BNP V7.375 PERP REGS"/>
        <s v="BNP V8 PERP REGS"/>
        <s v="BRAZIL 5.5 02/04/33 Corp"/>
        <s v="BRAZIL 6.25 05/22/36"/>
        <s v="BRAZIL 6.625 03/15/35"/>
        <s v="BRAZIL 7.25 01/12/56"/>
        <s v="CCBGBB V6.125 PERP"/>
        <s v="CDEL 6.33 01/13/35"/>
        <s v="CDEL 6.78 01/13/55"/>
        <s v="CDS BRAZIL 1pct 20 DEC 2030"/>
        <s v="CDS BRAZIL 1pct 20 JUN 2031"/>
        <s v="CDS COLOM 1pct 20 DEC 2030"/>
        <s v="CDS COLOM 1pct 20 JUN 2031"/>
        <s v="CDS SAUDI 1pct 20 DEC 2030"/>
        <s v="CDX HY45 5pct 20 DEC 2030"/>
        <s v="CDX HY45 5pct 20 DEC 2030 V2"/>
        <s v="CDX HY46 5pct 20 JUN 2031"/>
        <s v="CDX IG 43 3%-7% Tranche"/>
        <s v="CDX IG 45 3%-7% Tranche"/>
        <s v="CDX IG45 1pct 20 DEC 2030"/>
        <s v="CDX IG46 1pct 20 JUN 2031"/>
        <s v="CDX ITR-XOVER S44 5pct 20 DEC 2030"/>
        <s v="CDX ITR-XOVER S45 5pct 20 JUN 2031"/>
        <s v="CDX ITRX EUR SUB FIN 1pct 20 DEC 2030"/>
        <s v="CDX ITRX EUROPE 1pct 20 DEC 2030"/>
        <s v="CDX ITRX EUROPE 1pct 20 JUN 2031"/>
        <s v="COLOM 4.5 11/26/30"/>
        <s v="COLOM 5 09/19/32"/>
        <s v="COLOM 5.625 02/19/36"/>
        <s v="COLOM 5.75 11/26/34"/>
        <s v="COLOM 6.5 11/26/38"/>
        <s v="COLOM 7.5 02/02/34"/>
        <s v="COLOM 8 11/14/35"/>
        <s v="COLOM 8.375 11/07/54"/>
        <s v="DANBNK V4.375 PERP"/>
        <s v="DNBNO V7.375 PERP EMTN"/>
        <s v="DNONO 10.75 06/17/85 1235"/>
        <s v="ECOPET 5.875 05/28/45"/>
        <s v="ECOPET 5.875 11/02/51"/>
        <s v="ECOPET 7.75 02/01/32"/>
        <s v="ECOPET 8.375 01/19/36"/>
        <s v="ECOPET 8.875 01/13/33"/>
        <s v="EDF V4.375 PERP EMTN"/>
        <s v="EDF V9.125 PERP REGS"/>
        <s v="ENAPCL 5.95 07/30/34 REGS"/>
        <s v="ENAPCL 6.15 05/10/33"/>
        <s v="EUR"/>
        <s v="FRLBP V3 PERP"/>
        <s v="ISRAEL 3.8 05/13/60"/>
        <s v="ISRAEL 4.5 04/03/20"/>
        <s v="ISRAEL 5.75 03/12/54"/>
        <s v="ITAU V3.875 04/15/31 REGS"/>
        <s v="KSA 4.5 04/22/60 REGS"/>
        <s v="KSA 5 01/18/53 REGS"/>
        <s v="KSA 5.875 01/12/56 REGS"/>
        <s v="MEX 4.75 03/22/31"/>
        <s v="MEX 5.375 03/22/33"/>
        <s v="MEX 5.5 08/17/30"/>
        <s v="MEX 5.625 09/22/35"/>
        <s v="NDAFH V3.75 PERP REGS"/>
        <s v="NDAFH V6.625 PERP REGS"/>
        <s v="NDAFH V6.75 PERP REGS"/>
        <s v="NESFIR 8 09/30/29"/>
        <s v="NESFIR 8 09/30/29 V2"/>
        <s v="PEMEX 6.5 01/23/29"/>
        <s v="PEMEX 6.625 06/15/35"/>
        <s v="PEMEX 6.84 01/23/30"/>
        <s v="PEMEX 8.75 06/02/29"/>
        <s v="POLAND 2.875 01/15/31 EmTn"/>
        <s v="POLAND 3.625 06/15/36 EMTN"/>
        <s v="ROMANI 4.625 03/04/33 REGS"/>
        <s v="ROMANI 5.375 06/07/33 REGS"/>
        <s v="ROMANI 5.75 07/04/36 REGS"/>
        <s v="ROMANI 6 09/24/44 REGS"/>
        <s v="ROMANI 6.125 10/07/37 REGS"/>
        <s v="ROMANI 6.25 09/10/34 REGS"/>
        <s v="ROMANI 6.5 10/07/45 REGS"/>
        <s v="ROMANI 6.75 07/11/39 REGS"/>
        <s v="SEB V6.875 PERP"/>
        <s v="SHBASS V4.375 PERP"/>
        <s v="SHBASS V4.75 PERP"/>
        <s v="SOCGEN V8.125 PERP REGS"/>
        <s v="SWEDA V7.625 PERP"/>
        <s v="SWEDA V7.75 PERP"/>
        <s v="T 4.25 11/15/34"/>
        <s v="TGSNO 8.5 01/15/30 144A"/>
        <s v="TGSNO 8.5 01/15/30 REGS"/>
        <s v="TVLRO V7.125 PERP"/>
        <s v="TYH6"/>
        <s v="TYM6"/>
        <s v="USD"/>
        <s v="VKFP 7.5 04/15/32 REGS"/>
        <s v="YPANBR 8.947 07/31/42 REGS"/>
        <s v="YPMQBR 8.498 01/31/45 REGS"/>
      </sharedItems>
    </cacheField>
    <cacheField name="Description" numFmtId="0">
      <sharedItems/>
    </cacheField>
    <cacheField name="Ending Quantity" numFmtId="0">
      <sharedItems containsSemiMixedTypes="0" containsString="0" containsNumber="1" minValue="-85400000" maxValue="31332869.219999999"/>
    </cacheField>
    <cacheField name="Curr" numFmtId="0">
      <sharedItems/>
    </cacheField>
    <cacheField name="Ending Local Price" numFmtId="0">
      <sharedItems containsSemiMixedTypes="0" containsString="0" containsNumber="1" minValue="-4.5130999999999997" maxValue="115.533"/>
    </cacheField>
    <cacheField name="Realized Price" numFmtId="0">
      <sharedItems containsSemiMixedTypes="0" containsString="0" containsNumber="1" minValue="-142812.4" maxValue="592656.54"/>
    </cacheField>
    <cacheField name="Unrealized Price" numFmtId="0">
      <sharedItems containsSemiMixedTypes="0" containsString="0" containsNumber="1" minValue="-540339.46" maxValue="269864.21999999997"/>
    </cacheField>
    <cacheField name="Realized FX" numFmtId="0">
      <sharedItems containsSemiMixedTypes="0" containsString="0" containsNumber="1" minValue="-548059.93999999994" maxValue="79547.759999999995"/>
    </cacheField>
    <cacheField name="Unrealized FX" numFmtId="0">
      <sharedItems containsSemiMixedTypes="0" containsString="0" containsNumber="1" minValue="-90720" maxValue="1276971.2"/>
    </cacheField>
    <cacheField name="Interest" numFmtId="0">
      <sharedItems containsSemiMixedTypes="0" containsString="0" containsNumber="1" minValue="-306320.39" maxValue="132161.54"/>
    </cacheField>
    <cacheField name="Dividend" numFmtId="0">
      <sharedItems containsSemiMixedTypes="0" containsString="0" containsNumber="1" minValue="0" maxValue="194.7"/>
    </cacheField>
    <cacheField name="Other Income" numFmtId="0">
      <sharedItems containsSemiMixedTypes="0" containsString="0" containsNumber="1" minValue="-1112.3900000000001" maxValue="1.7462298274040199E-10"/>
    </cacheField>
    <cacheField name="Total" numFmtId="0">
      <sharedItems containsSemiMixedTypes="0" containsString="0" containsNumber="1" minValue="-540688.92000000004" maxValue="728911.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s v="Credit"/>
    <s v="Credit"/>
    <m/>
    <x v="0"/>
    <s v="ARAMCO 5 02/02/36 REGS"/>
    <n v="1220000"/>
    <s v="USD"/>
    <n v="96.054000000000002"/>
    <n v="0"/>
    <n v="-32391"/>
    <n v="0"/>
    <n v="0"/>
    <n v="9488.89"/>
    <n v="0"/>
    <n v="0"/>
    <n v="-22902.11"/>
  </r>
  <r>
    <s v="Credit"/>
    <s v="Credit"/>
    <m/>
    <x v="1"/>
    <s v="ARAMCO 5.75 07/17/54 REGS"/>
    <n v="1525000"/>
    <s v="USD"/>
    <n v="91.441000000000003"/>
    <n v="0"/>
    <n v="-61594.75"/>
    <n v="0"/>
    <n v="0"/>
    <n v="5650.97"/>
    <n v="0"/>
    <n v="0"/>
    <n v="-55943.78"/>
  </r>
  <r>
    <s v="Credit"/>
    <s v="Credit"/>
    <m/>
    <x v="2"/>
    <s v="ARAMCO 6 02/02/56 REGS"/>
    <n v="3660000"/>
    <s v="USD"/>
    <n v="94.230999999999995"/>
    <n v="0"/>
    <n v="-171342.9"/>
    <n v="0"/>
    <n v="0"/>
    <n v="17893.330000000002"/>
    <n v="0"/>
    <n v="0"/>
    <n v="-153449.57"/>
  </r>
  <r>
    <s v="Credit"/>
    <s v="Credit"/>
    <m/>
    <x v="3"/>
    <s v="ASNBNK 7 PERP"/>
    <n v="900000"/>
    <s v="EUR"/>
    <n v="102.889"/>
    <n v="0"/>
    <n v="-15857.59"/>
    <n v="0"/>
    <n v="-21810.94"/>
    <n v="17073.47"/>
    <n v="0"/>
    <n v="0"/>
    <n v="-20595.060000000001"/>
  </r>
  <r>
    <s v="Credit"/>
    <s v="Credit"/>
    <m/>
    <x v="4"/>
    <s v="AZURGY 8.25 01/22/31 REGS"/>
    <n v="732000"/>
    <s v="USD"/>
    <n v="101.2"/>
    <n v="915"/>
    <n v="8784"/>
    <n v="0"/>
    <n v="0"/>
    <n v="11071.5"/>
    <n v="0"/>
    <n v="0"/>
    <n v="20770.5"/>
  </r>
  <r>
    <s v="Credit"/>
    <s v="Credit"/>
    <m/>
    <x v="5"/>
    <s v="AZURGY 8.625 01/22/33 REGS"/>
    <n v="2440000"/>
    <s v="USD"/>
    <n v="100.96299999999999"/>
    <n v="0"/>
    <n v="23497.200000000001"/>
    <n v="0"/>
    <n v="0"/>
    <n v="38582.5"/>
    <n v="0"/>
    <n v="0"/>
    <n v="62079.7"/>
  </r>
  <r>
    <s v="Credit"/>
    <s v="Credit"/>
    <m/>
    <x v="6"/>
    <s v="BANQUE V7.25 PERP"/>
    <n v="1600000"/>
    <s v="EUR"/>
    <n v="102.637"/>
    <n v="0"/>
    <n v="-59037.41"/>
    <n v="0"/>
    <n v="-40081.599999999999"/>
    <n v="31938.959999999999"/>
    <n v="0"/>
    <n v="0"/>
    <n v="-67180.05"/>
  </r>
  <r>
    <s v="Credit"/>
    <s v="Credit"/>
    <m/>
    <x v="7"/>
    <s v="BAYNGR V7 09/25/83"/>
    <n v="2500000"/>
    <s v="EUR"/>
    <n v="106.108"/>
    <n v="0"/>
    <n v="-135644.84"/>
    <n v="0"/>
    <n v="-67813.17"/>
    <n v="36102.82"/>
    <n v="0"/>
    <n v="0"/>
    <n v="-167355.19"/>
  </r>
  <r>
    <s v="Credit"/>
    <s v="Credit"/>
    <m/>
    <x v="8"/>
    <s v="BGARIA 3.375 07/18/35 10Y"/>
    <n v="915000"/>
    <s v="EUR"/>
    <n v="95.498000000000005"/>
    <n v="0"/>
    <n v="-29710.71"/>
    <n v="0"/>
    <n v="-21072.17"/>
    <n v="8047.89"/>
    <n v="0"/>
    <n v="0"/>
    <n v="-42734.99"/>
  </r>
  <r>
    <s v="Credit"/>
    <s v="Credit"/>
    <m/>
    <x v="9"/>
    <s v="BGARIA 4.125 07/18/45 20Y"/>
    <n v="915000"/>
    <s v="EUR"/>
    <n v="93.581999999999994"/>
    <n v="0"/>
    <n v="-26765.69"/>
    <n v="0"/>
    <n v="-20863.150000000001"/>
    <n v="9836.2999999999993"/>
    <n v="0"/>
    <n v="0"/>
    <n v="-37792.54"/>
  </r>
  <r>
    <s v="Credit"/>
    <s v="Credit"/>
    <m/>
    <x v="10"/>
    <s v="BNCN 6.3 01/15/55"/>
    <n v="2950000"/>
    <s v="USD"/>
    <n v="94.96"/>
    <n v="0"/>
    <n v="-126614"/>
    <n v="0"/>
    <n v="0"/>
    <n v="44913.75"/>
    <n v="0"/>
    <n v="0"/>
    <n v="-81700.25"/>
  </r>
  <r>
    <s v="Credit"/>
    <s v="Credit"/>
    <m/>
    <x v="11"/>
    <s v="BNP V5.625 PERP GMTN"/>
    <n v="2400000"/>
    <s v="EUR"/>
    <n v="93.83"/>
    <n v="0"/>
    <n v="-170543.74"/>
    <n v="0"/>
    <n v="-90720"/>
    <n v="17180.060000000001"/>
    <n v="0"/>
    <n v="0"/>
    <n v="-244083.68"/>
  </r>
  <r>
    <s v="Credit"/>
    <s v="Credit"/>
    <m/>
    <x v="12"/>
    <s v="BNP V7.375 PERP REGS"/>
    <n v="0"/>
    <s v="USD"/>
    <n v="0"/>
    <n v="46070"/>
    <n v="-32540.2"/>
    <n v="0"/>
    <n v="0"/>
    <n v="9747.2800000000007"/>
    <n v="0"/>
    <n v="0"/>
    <n v="23277.08"/>
  </r>
  <r>
    <s v="Credit"/>
    <s v="Credit"/>
    <m/>
    <x v="13"/>
    <s v="BNP V8 PERP REGS"/>
    <n v="0"/>
    <s v="USD"/>
    <n v="0"/>
    <n v="22087.5"/>
    <n v="-14660.4"/>
    <n v="0"/>
    <n v="0"/>
    <n v="4940"/>
    <n v="0"/>
    <n v="0"/>
    <n v="12367.1"/>
  </r>
  <r>
    <s v="Credit"/>
    <s v="Credit"/>
    <m/>
    <x v="14"/>
    <s v="BRAZIL 5.5 02/04/33 Corp"/>
    <n v="1830000"/>
    <s v="USD"/>
    <n v="97.397999999999996"/>
    <n v="-539.85"/>
    <n v="-27413.4"/>
    <n v="0"/>
    <n v="0"/>
    <n v="26979.79"/>
    <n v="0"/>
    <n v="0"/>
    <n v="-973.46000000000504"/>
  </r>
  <r>
    <s v="Credit"/>
    <s v="Credit"/>
    <m/>
    <x v="15"/>
    <s v="BRAZIL 6.25 05/22/36"/>
    <n v="427000"/>
    <s v="USD"/>
    <n v="97.277000000000001"/>
    <n v="0"/>
    <n v="-6913.13"/>
    <n v="0"/>
    <n v="0"/>
    <n v="2891.15"/>
    <n v="0"/>
    <n v="0"/>
    <n v="-4021.98"/>
  </r>
  <r>
    <s v="Credit"/>
    <s v="Credit"/>
    <m/>
    <x v="16"/>
    <s v="BRAZIL 6.625 03/15/35"/>
    <n v="1830000"/>
    <s v="USD"/>
    <n v="101.41500000000001"/>
    <n v="0"/>
    <n v="-30945.3"/>
    <n v="0"/>
    <n v="0"/>
    <n v="29299.06"/>
    <n v="0"/>
    <n v="0"/>
    <n v="-1646.24"/>
  </r>
  <r>
    <s v="Credit"/>
    <s v="Credit"/>
    <m/>
    <x v="17"/>
    <s v="BRAZIL 7.25 01/12/56"/>
    <n v="6710000"/>
    <s v="USD"/>
    <n v="96.988"/>
    <n v="0"/>
    <n v="-151688.70000000001"/>
    <n v="0"/>
    <n v="0"/>
    <n v="111668.13"/>
    <n v="0"/>
    <n v="0"/>
    <n v="-40020.57"/>
  </r>
  <r>
    <s v="Credit"/>
    <s v="Credit"/>
    <m/>
    <x v="18"/>
    <s v="CCBGBB V6.125 PERP"/>
    <n v="1800000"/>
    <s v="EUR"/>
    <n v="100.399"/>
    <n v="0"/>
    <n v="-58044.99"/>
    <n v="0"/>
    <n v="-42003.89"/>
    <n v="30289.77"/>
    <n v="0"/>
    <n v="0"/>
    <n v="-69759.11"/>
  </r>
  <r>
    <s v="Credit"/>
    <s v="Credit"/>
    <m/>
    <x v="19"/>
    <s v="CDEL 6.33 01/13/35"/>
    <n v="3050000"/>
    <s v="USD"/>
    <n v="103.462"/>
    <n v="0"/>
    <n v="-94062"/>
    <n v="0"/>
    <n v="0"/>
    <n v="46657.38"/>
    <n v="0"/>
    <n v="0"/>
    <n v="-47404.62"/>
  </r>
  <r>
    <s v="Credit"/>
    <s v="Credit"/>
    <m/>
    <x v="20"/>
    <s v="CDEL 6.78 01/13/55"/>
    <n v="2440000"/>
    <s v="USD"/>
    <n v="103.989"/>
    <n v="0"/>
    <n v="-90084.800000000003"/>
    <n v="0"/>
    <n v="0"/>
    <n v="39979.4"/>
    <n v="0"/>
    <n v="0"/>
    <n v="-50105.4"/>
  </r>
  <r>
    <s v="Credit"/>
    <s v="Credit"/>
    <m/>
    <x v="21"/>
    <s v="CDS BRAZIL 1pct 20 DEC 2030"/>
    <n v="0"/>
    <s v="USD"/>
    <n v="0"/>
    <n v="-1509.35"/>
    <n v="12132.63"/>
    <n v="0"/>
    <n v="0"/>
    <n v="-31752.62"/>
    <n v="0"/>
    <n v="0"/>
    <n v="-21129.34"/>
  </r>
  <r>
    <s v="Credit"/>
    <s v="Credit"/>
    <m/>
    <x v="22"/>
    <s v="CDS BRAZIL 1pct 20 JUN 2031"/>
    <n v="15250000"/>
    <s v="USD"/>
    <n v="1.9822356759638999"/>
    <n v="0"/>
    <n v="-74914.11"/>
    <n v="0"/>
    <n v="0"/>
    <n v="-3812.5"/>
    <n v="0"/>
    <n v="0"/>
    <n v="-78726.61"/>
  </r>
  <r>
    <s v="Credit"/>
    <s v="Credit"/>
    <m/>
    <x v="23"/>
    <s v="CDS COLOM 1pct 20 DEC 2030"/>
    <n v="0"/>
    <s v="USD"/>
    <n v="0"/>
    <n v="68509.47"/>
    <n v="-36806.1"/>
    <n v="0"/>
    <n v="0"/>
    <n v="-30143.7"/>
    <n v="0"/>
    <n v="0"/>
    <n v="1559.6700000000101"/>
  </r>
  <r>
    <s v="Credit"/>
    <s v="Credit"/>
    <m/>
    <x v="24"/>
    <s v="CDS COLOM 1pct 20 JUN 2031"/>
    <n v="9150000"/>
    <s v="USD"/>
    <n v="5.6603389129683999"/>
    <n v="0"/>
    <n v="-13939.98"/>
    <n v="0"/>
    <n v="0"/>
    <n v="-2287.5"/>
    <n v="0"/>
    <n v="0"/>
    <n v="-16227.48"/>
  </r>
  <r>
    <s v="Credit"/>
    <s v="Credit"/>
    <m/>
    <x v="25"/>
    <s v="CDS SAUDI 1pct 20 DEC 2030"/>
    <n v="0"/>
    <s v="USD"/>
    <n v="0"/>
    <n v="17293.79"/>
    <n v="0"/>
    <n v="0"/>
    <n v="0"/>
    <n v="338.88999999999902"/>
    <n v="0"/>
    <n v="0"/>
    <n v="17632.68"/>
  </r>
  <r>
    <s v="Credit"/>
    <s v="Credit"/>
    <m/>
    <x v="26"/>
    <s v="CDX HY45 5pct 20 DEC 2030"/>
    <n v="0"/>
    <s v="USD"/>
    <n v="0"/>
    <n v="52765.599999999999"/>
    <n v="-145582.57"/>
    <n v="0"/>
    <n v="0"/>
    <n v="-19147.23"/>
    <n v="0"/>
    <n v="0"/>
    <n v="-111964.2"/>
  </r>
  <r>
    <s v="Credit"/>
    <s v="Credit"/>
    <m/>
    <x v="27"/>
    <s v="CDX HY45 5pct 20 DEC 2030 V2"/>
    <n v="0"/>
    <s v="USD"/>
    <n v="-4.5130999999999997"/>
    <n v="-14671.65"/>
    <n v="106622.66"/>
    <n v="0"/>
    <n v="0"/>
    <n v="19291.25"/>
    <n v="0"/>
    <n v="0"/>
    <n v="111242.26"/>
  </r>
  <r>
    <s v="Credit"/>
    <s v="Credit"/>
    <m/>
    <x v="28"/>
    <s v="CDX HY46 5pct 20 JUN 2031"/>
    <n v="-6100000"/>
    <s v="USD"/>
    <n v="0"/>
    <n v="0"/>
    <n v="11516.8"/>
    <n v="0"/>
    <n v="0"/>
    <n v="0"/>
    <n v="0"/>
    <n v="0"/>
    <n v="11516.8"/>
  </r>
  <r>
    <s v="Credit"/>
    <s v="Credit"/>
    <m/>
    <x v="29"/>
    <s v="CDX IG 43 3%-7% Tranche"/>
    <n v="0"/>
    <s v="USD"/>
    <n v="2.3620000000000001"/>
    <n v="0"/>
    <n v="0"/>
    <n v="0"/>
    <n v="0"/>
    <n v="0"/>
    <n v="0"/>
    <n v="0"/>
    <n v="0"/>
  </r>
  <r>
    <s v="Credit"/>
    <s v="Credit"/>
    <m/>
    <x v="30"/>
    <s v="CDX IG 45 3%-7% Tranche"/>
    <n v="0"/>
    <s v="USD"/>
    <n v="0"/>
    <n v="99125"/>
    <n v="-54595"/>
    <n v="0"/>
    <n v="0"/>
    <n v="11013.89"/>
    <n v="0"/>
    <n v="0"/>
    <n v="55543.89"/>
  </r>
  <r>
    <s v="Credit"/>
    <s v="Credit"/>
    <m/>
    <x v="31"/>
    <s v="CDX IG45 1pct 20 DEC 2030"/>
    <n v="0"/>
    <s v="USD"/>
    <n v="0"/>
    <n v="-10694.7"/>
    <n v="21811.55"/>
    <n v="0"/>
    <n v="0"/>
    <n v="-53931.62"/>
    <n v="0"/>
    <n v="0"/>
    <n v="-42814.77"/>
  </r>
  <r>
    <s v="Credit"/>
    <s v="Credit"/>
    <m/>
    <x v="32"/>
    <s v="CDX IG46 1pct 20 JUN 2031"/>
    <n v="30500000"/>
    <s v="USD"/>
    <n v="-1.5208204113287001"/>
    <n v="0"/>
    <n v="38775.82"/>
    <n v="0"/>
    <n v="0"/>
    <n v="-5930.56"/>
    <n v="0"/>
    <n v="0"/>
    <n v="32845.26"/>
  </r>
  <r>
    <s v="Credit"/>
    <s v="Credit"/>
    <m/>
    <x v="33"/>
    <s v="CDX ITR-XOVER S44 5pct 20 DEC 2030"/>
    <n v="0"/>
    <s v="EUR"/>
    <n v="0"/>
    <n v="592656.54"/>
    <n v="269864.21999999997"/>
    <n v="79547.759999999995"/>
    <n v="-15068.82"/>
    <n v="-306320.39"/>
    <n v="0"/>
    <n v="-3.4924596548080398E-10"/>
    <n v="620679.31000000006"/>
  </r>
  <r>
    <s v="Credit"/>
    <s v="Credit"/>
    <m/>
    <x v="34"/>
    <s v="CDX ITR-XOVER S45 5pct 20 JUN 2031"/>
    <n v="-6099000"/>
    <s v="EUR"/>
    <n v="0"/>
    <n v="0"/>
    <n v="-54892.87"/>
    <n v="0"/>
    <n v="-1663.55"/>
    <n v="6825.63"/>
    <n v="0"/>
    <n v="0"/>
    <n v="-49730.79"/>
  </r>
  <r>
    <s v="Credit"/>
    <s v="Credit"/>
    <m/>
    <x v="35"/>
    <s v="CDX ITRX EUR SUB FIN 1pct 20 DEC 2030"/>
    <n v="0"/>
    <s v="EUR"/>
    <n v="0"/>
    <n v="71460.41"/>
    <n v="76388.960000000006"/>
    <n v="-304.23"/>
    <n v="83.25"/>
    <n v="-31894.95"/>
    <n v="0"/>
    <n v="0"/>
    <n v="115733.44"/>
  </r>
  <r>
    <s v="Credit"/>
    <s v="Credit"/>
    <m/>
    <x v="36"/>
    <s v="CDX ITRX EUROPE 1pct 20 DEC 2030"/>
    <n v="0"/>
    <s v="EUR"/>
    <n v="0"/>
    <n v="-142812.4"/>
    <n v="-70767.45"/>
    <n v="7609.74"/>
    <n v="8480.56"/>
    <n v="132161.54"/>
    <n v="0"/>
    <n v="0"/>
    <n v="-65328.01"/>
  </r>
  <r>
    <s v="Credit"/>
    <s v="Credit"/>
    <m/>
    <x v="37"/>
    <s v="CDX ITRX EUROPE 1pct 20 JUN 2031"/>
    <n v="-85400000"/>
    <s v="EUR"/>
    <n v="0"/>
    <n v="0"/>
    <n v="-145837.72"/>
    <n v="0"/>
    <n v="-4972.1400000000003"/>
    <n v="19114.88"/>
    <n v="0"/>
    <n v="0"/>
    <n v="-131694.98000000001"/>
  </r>
  <r>
    <s v="Credit"/>
    <s v="Credit"/>
    <m/>
    <x v="38"/>
    <s v="COLOM 4.5 11/26/30"/>
    <n v="336000"/>
    <s v="EUR"/>
    <n v="96.817999999999998"/>
    <n v="0"/>
    <n v="-5412.96"/>
    <n v="0"/>
    <n v="-7827.05"/>
    <n v="4067.91"/>
    <n v="0"/>
    <n v="0"/>
    <n v="-9172.1"/>
  </r>
  <r>
    <s v="Credit"/>
    <s v="Credit"/>
    <m/>
    <x v="39"/>
    <s v="COLOM 5 09/19/32"/>
    <n v="915000"/>
    <s v="EUR"/>
    <n v="94.463999999999999"/>
    <n v="0"/>
    <n v="-15376.53"/>
    <n v="0"/>
    <n v="-21473.83"/>
    <n v="12428.87"/>
    <n v="0"/>
    <n v="0"/>
    <n v="-24421.49"/>
  </r>
  <r>
    <s v="Credit"/>
    <s v="Credit"/>
    <m/>
    <x v="40"/>
    <s v="COLOM 5.625 02/19/36"/>
    <n v="610000"/>
    <s v="EUR"/>
    <n v="91.475999999999999"/>
    <n v="0"/>
    <n v="-15885.79"/>
    <n v="0"/>
    <n v="-14253"/>
    <n v="9783.34"/>
    <n v="0"/>
    <n v="0"/>
    <n v="-20355.45"/>
  </r>
  <r>
    <s v="Credit"/>
    <s v="Credit"/>
    <m/>
    <x v="41"/>
    <s v="COLOM 5.75 11/26/34"/>
    <n v="610000"/>
    <s v="EUR"/>
    <n v="94.465000000000003"/>
    <n v="0"/>
    <n v="-17827.28"/>
    <n v="0"/>
    <n v="-14188.07"/>
    <n v="9436.6299999999992"/>
    <n v="0"/>
    <n v="0"/>
    <n v="-22578.720000000001"/>
  </r>
  <r>
    <s v="Credit"/>
    <s v="Credit"/>
    <m/>
    <x v="42"/>
    <s v="COLOM 6.5 11/26/38"/>
    <n v="305000"/>
    <s v="EUR"/>
    <n v="95.22"/>
    <n v="0"/>
    <n v="-5356.87"/>
    <n v="0"/>
    <n v="-7106.22"/>
    <n v="5333.75"/>
    <n v="0"/>
    <n v="0"/>
    <n v="-7129.34"/>
  </r>
  <r>
    <s v="Credit"/>
    <s v="Credit"/>
    <m/>
    <x v="43"/>
    <s v="COLOM 7.5 02/02/34"/>
    <n v="1100000"/>
    <s v="USD"/>
    <n v="102.27800000000001"/>
    <n v="6222"/>
    <n v="-26568.6"/>
    <n v="0"/>
    <n v="0"/>
    <n v="22352.080000000002"/>
    <n v="0"/>
    <n v="0"/>
    <n v="2005.48"/>
  </r>
  <r>
    <s v="Credit"/>
    <s v="Credit"/>
    <m/>
    <x v="44"/>
    <s v="COLOM 8 11/14/35"/>
    <n v="4042000"/>
    <s v="USD"/>
    <n v="104.866"/>
    <n v="0"/>
    <n v="-78293.539999999994"/>
    <n v="0"/>
    <n v="0"/>
    <n v="78145.33"/>
    <n v="0"/>
    <n v="0"/>
    <n v="-148.209999999996"/>
  </r>
  <r>
    <s v="Credit"/>
    <s v="Credit"/>
    <m/>
    <x v="45"/>
    <s v="COLOM 8.375 11/07/54"/>
    <n v="1502000"/>
    <s v="USD"/>
    <n v="103.233"/>
    <n v="0"/>
    <n v="-44113.74"/>
    <n v="0"/>
    <n v="0"/>
    <n v="30399.86"/>
    <n v="0"/>
    <n v="0"/>
    <n v="-13713.88"/>
  </r>
  <r>
    <s v="Credit"/>
    <s v="Credit"/>
    <m/>
    <x v="46"/>
    <s v="DANBNK V4.375 PERP"/>
    <n v="0"/>
    <s v="USD"/>
    <n v="0"/>
    <n v="63509.25"/>
    <n v="-65522.25"/>
    <n v="0"/>
    <n v="0"/>
    <n v="14233.33"/>
    <n v="0"/>
    <n v="0"/>
    <n v="12220.33"/>
  </r>
  <r>
    <s v="Credit"/>
    <s v="Credit"/>
    <m/>
    <x v="47"/>
    <s v="DNBNO V7.375 PERP EMTN"/>
    <n v="2850000"/>
    <s v="USD"/>
    <n v="102.23399999999999"/>
    <n v="0"/>
    <n v="-82593"/>
    <n v="0"/>
    <n v="0"/>
    <n v="50795.32"/>
    <n v="0"/>
    <n v="0"/>
    <n v="-31797.68"/>
  </r>
  <r>
    <s v="Credit"/>
    <s v="Credit"/>
    <m/>
    <x v="48"/>
    <s v="DNONO 10.75 06/17/85 1235"/>
    <n v="1830000"/>
    <s v="USD"/>
    <n v="104.068"/>
    <n v="0"/>
    <n v="-13487.1"/>
    <n v="0"/>
    <n v="0"/>
    <n v="47025.36"/>
    <n v="0"/>
    <n v="0"/>
    <n v="33538.26"/>
  </r>
  <r>
    <s v="Credit"/>
    <s v="Credit"/>
    <m/>
    <x v="49"/>
    <s v="ECOPET 5.875 05/28/45"/>
    <n v="610000"/>
    <s v="USD"/>
    <n v="73.31"/>
    <n v="0"/>
    <n v="-8527.7999999999993"/>
    <n v="0"/>
    <n v="0"/>
    <n v="8660.73"/>
    <n v="0"/>
    <n v="0"/>
    <n v="132.93"/>
  </r>
  <r>
    <s v="Credit"/>
    <s v="Credit"/>
    <m/>
    <x v="50"/>
    <s v="ECOPET 5.875 11/02/51"/>
    <n v="610000"/>
    <s v="USD"/>
    <n v="70.481999999999999"/>
    <n v="0"/>
    <n v="-9455"/>
    <n v="0"/>
    <n v="0"/>
    <n v="8660.73"/>
    <n v="0"/>
    <n v="0"/>
    <n v="-794.27"/>
  </r>
  <r>
    <s v="Credit"/>
    <s v="Credit"/>
    <m/>
    <x v="51"/>
    <s v="ECOPET 7.75 02/01/32"/>
    <n v="1220000"/>
    <s v="USD"/>
    <n v="100.79600000000001"/>
    <n v="0"/>
    <n v="-22521.200000000001"/>
    <n v="0"/>
    <n v="0"/>
    <n v="22849.59"/>
    <n v="0"/>
    <n v="0"/>
    <n v="328.38999999999902"/>
  </r>
  <r>
    <s v="Credit"/>
    <s v="Credit"/>
    <m/>
    <x v="52"/>
    <s v="ECOPET 8.375 01/19/36"/>
    <n v="3050000"/>
    <s v="USD"/>
    <n v="101.12"/>
    <n v="0"/>
    <n v="-53497"/>
    <n v="0"/>
    <n v="0"/>
    <n v="61730.74"/>
    <n v="0"/>
    <n v="0"/>
    <n v="8233.7400000000107"/>
  </r>
  <r>
    <s v="Credit"/>
    <s v="Credit"/>
    <m/>
    <x v="53"/>
    <s v="ECOPET 8.875 01/13/33"/>
    <n v="590000"/>
    <s v="USD"/>
    <n v="105.065"/>
    <n v="0"/>
    <n v="-9611.1"/>
    <n v="0"/>
    <n v="0"/>
    <n v="12654.27"/>
    <n v="0"/>
    <n v="0"/>
    <n v="3043.17"/>
  </r>
  <r>
    <s v="Credit"/>
    <s v="Credit"/>
    <m/>
    <x v="54"/>
    <s v="EDF V4.375 PERP EMTN"/>
    <n v="1000000"/>
    <s v="EUR"/>
    <n v="96.554000000000002"/>
    <n v="0"/>
    <n v="-28890.65"/>
    <n v="0"/>
    <n v="-23355.82"/>
    <n v="11934.07"/>
    <n v="0"/>
    <n v="0"/>
    <n v="-40312.400000000001"/>
  </r>
  <r>
    <s v="Credit"/>
    <s v="Credit"/>
    <m/>
    <x v="55"/>
    <s v="EDF V9.125 PERP REGS"/>
    <n v="3660000"/>
    <s v="USD"/>
    <n v="115.533"/>
    <n v="0"/>
    <n v="-17568"/>
    <n v="0"/>
    <n v="0"/>
    <n v="80710.63"/>
    <n v="0"/>
    <n v="0"/>
    <n v="63142.63"/>
  </r>
  <r>
    <s v="Credit"/>
    <s v="Credit"/>
    <m/>
    <x v="56"/>
    <s v="ENAPCL 5.95 07/30/34 REGS"/>
    <n v="2708000"/>
    <s v="USD"/>
    <n v="101.459"/>
    <n v="0"/>
    <n v="-85112.44"/>
    <n v="0"/>
    <n v="0"/>
    <n v="38938.79"/>
    <n v="0"/>
    <n v="0"/>
    <n v="-46173.65"/>
  </r>
  <r>
    <s v="Credit"/>
    <s v="Credit"/>
    <m/>
    <x v="57"/>
    <s v="ENAPCL 6.15 05/10/33"/>
    <n v="1774000"/>
    <s v="USD"/>
    <n v="103"/>
    <n v="0"/>
    <n v="-53574.8"/>
    <n v="0"/>
    <n v="0"/>
    <n v="26366.07"/>
    <n v="0"/>
    <n v="0"/>
    <n v="-27208.73"/>
  </r>
  <r>
    <s v="Credit"/>
    <s v="Credit"/>
    <m/>
    <x v="58"/>
    <s v="Euro"/>
    <n v="-26266377.02"/>
    <s v="EUR"/>
    <n v="1"/>
    <n v="0"/>
    <n v="0"/>
    <n v="-548059.93999999994"/>
    <n v="1276971.2"/>
    <n v="0"/>
    <n v="0"/>
    <n v="-2.3283064365386999E-10"/>
    <n v="728911.26"/>
  </r>
  <r>
    <s v="Credit"/>
    <s v="Credit"/>
    <m/>
    <x v="59"/>
    <s v="FRLBP V3 PERP"/>
    <n v="1000000"/>
    <s v="EUR"/>
    <n v="93.111999999999995"/>
    <n v="0"/>
    <n v="-5613.19"/>
    <n v="0"/>
    <n v="-21744.57"/>
    <n v="8171.6"/>
    <n v="0"/>
    <n v="0"/>
    <n v="-19186.16"/>
  </r>
  <r>
    <s v="Credit"/>
    <s v="Credit"/>
    <m/>
    <x v="60"/>
    <s v="ISRAEL 3.8 05/13/60"/>
    <n v="3209000"/>
    <s v="USD"/>
    <n v="64.525000000000006"/>
    <n v="21960"/>
    <n v="-88370.74"/>
    <n v="0"/>
    <n v="0"/>
    <n v="41638.82"/>
    <n v="0"/>
    <n v="0"/>
    <n v="-24771.919999999998"/>
  </r>
  <r>
    <s v="Credit"/>
    <s v="Credit"/>
    <m/>
    <x v="61"/>
    <s v="ISRAEL 4.5 04/03/20"/>
    <n v="8060000"/>
    <s v="USD"/>
    <n v="71.149000000000001"/>
    <n v="0"/>
    <n v="-287419.59999999998"/>
    <n v="0"/>
    <n v="0"/>
    <n v="87652.51"/>
    <n v="0"/>
    <n v="0"/>
    <n v="-199767.09"/>
  </r>
  <r>
    <s v="Credit"/>
    <s v="Credit"/>
    <m/>
    <x v="62"/>
    <s v="ISRAEL 5.75 03/12/54"/>
    <n v="5983000"/>
    <s v="USD"/>
    <n v="93.094999999999999"/>
    <n v="96615.25"/>
    <n v="-226212.52"/>
    <n v="0"/>
    <n v="0"/>
    <n v="115193.46"/>
    <n v="0"/>
    <n v="0"/>
    <n v="-14403.81"/>
  </r>
  <r>
    <s v="Credit"/>
    <s v="Credit"/>
    <m/>
    <x v="63"/>
    <s v="ITAU V3.875 04/15/31 REGS"/>
    <n v="0"/>
    <s v="USD"/>
    <n v="0"/>
    <n v="6397.5"/>
    <n v="-5109.47"/>
    <n v="0"/>
    <n v="0"/>
    <n v="1285.43"/>
    <n v="0"/>
    <n v="0"/>
    <n v="2573.46"/>
  </r>
  <r>
    <s v="Credit"/>
    <s v="Credit"/>
    <m/>
    <x v="64"/>
    <s v="KSA 4.5 04/22/60 REGS"/>
    <n v="3660000"/>
    <s v="USD"/>
    <n v="75.900999999999996"/>
    <n v="0"/>
    <n v="-83289.399999999994"/>
    <n v="0"/>
    <n v="0"/>
    <n v="10522.5"/>
    <n v="0"/>
    <n v="0"/>
    <n v="-72766.899999999994"/>
  </r>
  <r>
    <s v="Credit"/>
    <s v="Credit"/>
    <m/>
    <x v="65"/>
    <s v="KSA 5 01/18/53 REGS"/>
    <n v="1525000"/>
    <s v="USD"/>
    <n v="83.994"/>
    <n v="0"/>
    <n v="-53085.25"/>
    <n v="0"/>
    <n v="0"/>
    <n v="4659.72"/>
    <n v="0"/>
    <n v="0"/>
    <n v="-48425.53"/>
  </r>
  <r>
    <s v="Credit"/>
    <s v="Credit"/>
    <m/>
    <x v="66"/>
    <s v="KSA 5.875 01/12/56 REGS"/>
    <n v="1525000"/>
    <s v="USD"/>
    <n v="94.825000000000003"/>
    <n v="0"/>
    <n v="-50325"/>
    <n v="0"/>
    <n v="0"/>
    <n v="5475.18"/>
    <n v="0"/>
    <n v="0"/>
    <n v="-44849.82"/>
  </r>
  <r>
    <s v="Credit"/>
    <s v="Credit"/>
    <m/>
    <x v="67"/>
    <s v="MEX 4.75 03/22/31"/>
    <n v="915000"/>
    <s v="USD"/>
    <n v="97.078000000000003"/>
    <n v="-8097.75"/>
    <n v="-9644.1"/>
    <n v="0"/>
    <n v="0"/>
    <n v="12797.29"/>
    <n v="0"/>
    <n v="0"/>
    <n v="-4944.5600000000004"/>
  </r>
  <r>
    <s v="Credit"/>
    <s v="Credit"/>
    <m/>
    <x v="68"/>
    <s v="MEX 5.375 03/22/33"/>
    <n v="2130000"/>
    <s v="USD"/>
    <n v="97.054000000000002"/>
    <n v="0"/>
    <n v="-46497.9"/>
    <n v="0"/>
    <n v="0"/>
    <n v="27667.81"/>
    <n v="0"/>
    <n v="0"/>
    <n v="-18830.09"/>
  </r>
  <r>
    <s v="Credit"/>
    <s v="Credit"/>
    <m/>
    <x v="69"/>
    <s v="MEX 5.5 08/17/30"/>
    <n v="2745000"/>
    <s v="USD"/>
    <n v="99.989000000000004"/>
    <n v="0"/>
    <n v="-51660.9"/>
    <n v="0"/>
    <n v="0"/>
    <n v="36485.61"/>
    <n v="0"/>
    <n v="0"/>
    <n v="-15175.29"/>
  </r>
  <r>
    <s v="Credit"/>
    <s v="Credit"/>
    <m/>
    <x v="70"/>
    <s v="MEX 5.625 09/22/35"/>
    <n v="5490000"/>
    <s v="USD"/>
    <n v="95.858999999999995"/>
    <n v="0"/>
    <n v="-157837.5"/>
    <n v="0"/>
    <n v="0"/>
    <n v="74629.69"/>
    <n v="0"/>
    <n v="0"/>
    <n v="-83207.81"/>
  </r>
  <r>
    <s v="Credit"/>
    <s v="Credit"/>
    <m/>
    <x v="71"/>
    <s v="NDAFH V3.75 PERP REGS"/>
    <n v="810000"/>
    <s v="USD"/>
    <n v="92.876000000000005"/>
    <n v="0"/>
    <n v="-13502.7"/>
    <n v="0"/>
    <n v="0"/>
    <n v="7340.63"/>
    <n v="0"/>
    <n v="0"/>
    <n v="-6162.07"/>
  </r>
  <r>
    <s v="Credit"/>
    <s v="Credit"/>
    <m/>
    <x v="72"/>
    <s v="NDAFH V6.625 PERP REGS"/>
    <n v="0"/>
    <s v="USD"/>
    <n v="0"/>
    <n v="31315"/>
    <n v="-37219.800000000003"/>
    <n v="0"/>
    <n v="0"/>
    <n v="11674.73"/>
    <n v="0"/>
    <n v="0"/>
    <n v="5769.93"/>
  </r>
  <r>
    <s v="Credit"/>
    <s v="Credit"/>
    <m/>
    <x v="73"/>
    <s v="NDAFH V6.75 PERP REGS"/>
    <n v="2940000"/>
    <s v="USD"/>
    <n v="99.203000000000003"/>
    <n v="0"/>
    <n v="-100195.2"/>
    <n v="0"/>
    <n v="0"/>
    <n v="47958.74"/>
    <n v="0"/>
    <n v="0"/>
    <n v="-52236.46"/>
  </r>
  <r>
    <s v="Credit"/>
    <s v="Credit"/>
    <m/>
    <x v="74"/>
    <s v="NESFIR 8 09/30/29"/>
    <n v="1750000"/>
    <s v="USD"/>
    <n v="102.053"/>
    <n v="0"/>
    <n v="35052.5"/>
    <n v="0"/>
    <n v="0"/>
    <n v="68657.53"/>
    <n v="0"/>
    <n v="0"/>
    <n v="103710.03"/>
  </r>
  <r>
    <s v="Credit"/>
    <s v="Credit"/>
    <m/>
    <x v="75"/>
    <s v="NESFIR 8 09/30/29 V2"/>
    <n v="0"/>
    <s v="USD"/>
    <n v="0"/>
    <n v="0"/>
    <n v="-25742.5"/>
    <n v="0"/>
    <n v="0"/>
    <n v="-105388.89"/>
    <n v="0"/>
    <n v="0"/>
    <n v="-131131.39000000001"/>
  </r>
  <r>
    <s v="Credit"/>
    <s v="Credit"/>
    <m/>
    <x v="76"/>
    <s v="PEMEX 6.5 01/23/29"/>
    <n v="0"/>
    <s v="USD"/>
    <n v="0"/>
    <n v="304145.34999999998"/>
    <n v="-309603.67"/>
    <n v="0"/>
    <n v="0"/>
    <n v="5475.16"/>
    <n v="0"/>
    <n v="0"/>
    <n v="16.840000000011099"/>
  </r>
  <r>
    <s v="Credit"/>
    <s v="Credit"/>
    <m/>
    <x v="77"/>
    <s v="PEMEX 6.625 06/15/35"/>
    <n v="7460000"/>
    <s v="USD"/>
    <n v="92.194999999999993"/>
    <n v="0"/>
    <n v="-193011.42"/>
    <n v="0"/>
    <n v="0"/>
    <n v="114009.62"/>
    <n v="0"/>
    <n v="0"/>
    <n v="-79001.8"/>
  </r>
  <r>
    <s v="Credit"/>
    <s v="Credit"/>
    <m/>
    <x v="78"/>
    <s v="PEMEX 6.84 01/23/30"/>
    <n v="3433000"/>
    <s v="USD"/>
    <n v="99.551000000000002"/>
    <n v="0"/>
    <n v="-72539.289999999994"/>
    <n v="0"/>
    <n v="0"/>
    <n v="56747.49"/>
    <n v="0"/>
    <n v="0"/>
    <n v="-15791.8"/>
  </r>
  <r>
    <s v="Credit"/>
    <s v="Credit"/>
    <m/>
    <x v="79"/>
    <s v="PEMEX 8.75 06/02/29"/>
    <n v="1140000"/>
    <s v="USD"/>
    <n v="104.53700000000001"/>
    <n v="0"/>
    <n v="-30654.6"/>
    <n v="0"/>
    <n v="0"/>
    <n v="24106.240000000002"/>
    <n v="0"/>
    <n v="0"/>
    <n v="-6548.36"/>
  </r>
  <r>
    <s v="Credit"/>
    <s v="Credit"/>
    <m/>
    <x v="80"/>
    <s v="POLAND 2.875 01/15/31 EmTn"/>
    <n v="0"/>
    <s v="EUR"/>
    <n v="0"/>
    <n v="29119.35"/>
    <n v="0"/>
    <n v="60169.85"/>
    <n v="0"/>
    <n v="13117.07"/>
    <n v="0"/>
    <n v="0"/>
    <n v="102406.27"/>
  </r>
  <r>
    <s v="Credit"/>
    <s v="Credit"/>
    <m/>
    <x v="81"/>
    <s v="POLAND 3.625 06/15/36 EMTN"/>
    <n v="0"/>
    <s v="EUR"/>
    <n v="0"/>
    <n v="0"/>
    <n v="0"/>
    <n v="-17035.5"/>
    <n v="0"/>
    <n v="19721.14"/>
    <n v="0"/>
    <n v="0"/>
    <n v="2685.64"/>
  </r>
  <r>
    <s v="Credit"/>
    <s v="Credit"/>
    <m/>
    <x v="82"/>
    <s v="ROMANI 4.625 03/04/33 REGS"/>
    <n v="305000"/>
    <s v="EUR"/>
    <n v="93.79"/>
    <n v="0"/>
    <n v="-21546.81"/>
    <n v="0"/>
    <n v="-8655.41"/>
    <n v="1068.24"/>
    <n v="0"/>
    <n v="0"/>
    <n v="-29133.98"/>
  </r>
  <r>
    <s v="Credit"/>
    <s v="Credit"/>
    <m/>
    <x v="83"/>
    <s v="ROMANI 5.375 06/07/33 REGS"/>
    <n v="0"/>
    <s v="EUR"/>
    <n v="0"/>
    <n v="19346.599999999999"/>
    <n v="-12387.54"/>
    <n v="9939.06"/>
    <n v="-1999.94"/>
    <n v="3047.23"/>
    <n v="0"/>
    <n v="0"/>
    <n v="17945.41"/>
  </r>
  <r>
    <s v="Credit"/>
    <s v="Credit"/>
    <m/>
    <x v="84"/>
    <s v="ROMANI 5.75 07/04/36 REGS"/>
    <n v="304000"/>
    <s v="USD"/>
    <n v="93.067999999999998"/>
    <n v="0"/>
    <n v="-20939.52"/>
    <n v="0"/>
    <n v="0"/>
    <n v="1165.33"/>
    <n v="0"/>
    <n v="0"/>
    <n v="-19774.189999999999"/>
  </r>
  <r>
    <s v="Credit"/>
    <s v="Credit"/>
    <m/>
    <x v="85"/>
    <s v="ROMANI 6 09/24/44 REGS"/>
    <n v="1830000"/>
    <s v="EUR"/>
    <n v="92.635999999999996"/>
    <n v="0"/>
    <n v="-162222.82"/>
    <n v="0"/>
    <n v="-52145.06"/>
    <n v="7719.24"/>
    <n v="0"/>
    <n v="0"/>
    <n v="-206648.64"/>
  </r>
  <r>
    <s v="Credit"/>
    <s v="Credit"/>
    <m/>
    <x v="86"/>
    <s v="ROMANI 6.125 10/07/37 REGS"/>
    <n v="305000"/>
    <s v="EUR"/>
    <n v="97.283000000000001"/>
    <n v="0"/>
    <n v="-11654.27"/>
    <n v="0"/>
    <n v="-7118.21"/>
    <n v="4965.8999999999996"/>
    <n v="0"/>
    <n v="0"/>
    <n v="-13806.58"/>
  </r>
  <r>
    <s v="Credit"/>
    <s v="Credit"/>
    <m/>
    <x v="87"/>
    <s v="ROMANI 6.25 09/10/34 REGS"/>
    <n v="610000"/>
    <s v="EUR"/>
    <n v="101.828"/>
    <n v="0"/>
    <n v="-23933.119999999999"/>
    <n v="0"/>
    <n v="-14119.97"/>
    <n v="9547.82"/>
    <n v="0"/>
    <n v="0"/>
    <n v="-28505.27"/>
  </r>
  <r>
    <s v="Credit"/>
    <s v="Credit"/>
    <m/>
    <x v="88"/>
    <s v="ROMANI 6.5 10/07/45 REGS"/>
    <n v="305000"/>
    <s v="EUR"/>
    <n v="96.173000000000002"/>
    <n v="0"/>
    <n v="-11880.97"/>
    <n v="0"/>
    <n v="-7073.61"/>
    <n v="5269.93"/>
    <n v="0"/>
    <n v="0"/>
    <n v="-13684.65"/>
  </r>
  <r>
    <s v="Credit"/>
    <s v="Credit"/>
    <m/>
    <x v="89"/>
    <s v="ROMANI 6.75 07/11/39 REGS"/>
    <n v="3660000"/>
    <s v="EUR"/>
    <n v="100.358"/>
    <n v="0"/>
    <n v="-172662.71"/>
    <n v="0"/>
    <n v="-84586.17"/>
    <n v="62681.11"/>
    <n v="0"/>
    <n v="0"/>
    <n v="-194567.77"/>
  </r>
  <r>
    <s v="Credit"/>
    <s v="Credit"/>
    <m/>
    <x v="90"/>
    <s v="SEB V6.875 PERP"/>
    <n v="3000000"/>
    <s v="USD"/>
    <n v="100.833"/>
    <n v="0"/>
    <n v="-54120"/>
    <n v="0"/>
    <n v="0"/>
    <n v="49843.77"/>
    <n v="0"/>
    <n v="0"/>
    <n v="-4276.2299999999996"/>
  </r>
  <r>
    <s v="Credit"/>
    <s v="Credit"/>
    <m/>
    <x v="91"/>
    <s v="SHBASS V4.375 PERP"/>
    <n v="0"/>
    <s v="USD"/>
    <n v="0"/>
    <n v="35712"/>
    <n v="-36048"/>
    <n v="0"/>
    <n v="0"/>
    <n v="4666.67"/>
    <n v="0"/>
    <n v="0"/>
    <n v="4330.67"/>
  </r>
  <r>
    <s v="Credit"/>
    <s v="Credit"/>
    <m/>
    <x v="92"/>
    <s v="SHBASS V4.75 PERP"/>
    <n v="1200000"/>
    <s v="USD"/>
    <n v="92.67"/>
    <n v="0"/>
    <n v="-32400"/>
    <n v="0"/>
    <n v="0"/>
    <n v="13775"/>
    <n v="0"/>
    <n v="0"/>
    <n v="-18625"/>
  </r>
  <r>
    <s v="Credit"/>
    <s v="Credit"/>
    <m/>
    <x v="93"/>
    <s v="SOCGEN V8.125 PERP REGS"/>
    <n v="1830000"/>
    <s v="USD"/>
    <n v="102.86499999999999"/>
    <n v="0"/>
    <n v="-44322.6"/>
    <n v="0"/>
    <n v="0"/>
    <n v="26157.99"/>
    <n v="0"/>
    <n v="0"/>
    <n v="-18164.61"/>
  </r>
  <r>
    <s v="Credit"/>
    <s v="Credit"/>
    <m/>
    <x v="94"/>
    <s v="SWEDA V7.625 PERP"/>
    <n v="800000"/>
    <s v="USD"/>
    <n v="103.07"/>
    <n v="0"/>
    <n v="-14848"/>
    <n v="0"/>
    <n v="0"/>
    <n v="14741.66"/>
    <n v="0"/>
    <n v="0"/>
    <n v="-106.34"/>
  </r>
  <r>
    <s v="Credit"/>
    <s v="Credit"/>
    <m/>
    <x v="95"/>
    <s v="SWEDA V7.75 PERP"/>
    <n v="1000000"/>
    <s v="USD"/>
    <n v="105.223"/>
    <n v="0"/>
    <n v="-27940"/>
    <n v="0"/>
    <n v="0"/>
    <n v="18729.16"/>
    <n v="0"/>
    <n v="0"/>
    <n v="-9210.84"/>
  </r>
  <r>
    <s v="Credit"/>
    <s v="Credit"/>
    <m/>
    <x v="96"/>
    <s v="US TREASURY NOTE BILL 4.25 15 NOV 34"/>
    <n v="8850000"/>
    <s v="USD"/>
    <n v="99.171875"/>
    <n v="0"/>
    <n v="-172851.56"/>
    <n v="0"/>
    <n v="0"/>
    <n v="89355.68"/>
    <n v="0"/>
    <n v="0"/>
    <n v="-83495.88"/>
  </r>
  <r>
    <s v="Credit"/>
    <s v="Credit"/>
    <m/>
    <x v="97"/>
    <s v="TGSNO 8.5 01/15/30 144A"/>
    <n v="1220000"/>
    <s v="USD"/>
    <n v="104.56699999999999"/>
    <n v="0"/>
    <n v="1256.5999999999999"/>
    <n v="0"/>
    <n v="0"/>
    <n v="25060.84"/>
    <n v="0"/>
    <n v="0"/>
    <n v="26317.439999999999"/>
  </r>
  <r>
    <s v="Credit"/>
    <s v="Credit"/>
    <m/>
    <x v="98"/>
    <s v="TGSNO 8.5 01/15/30 REGS"/>
    <n v="610000"/>
    <s v="USD"/>
    <n v="104.65600000000001"/>
    <n v="0"/>
    <n v="1586"/>
    <n v="0"/>
    <n v="0"/>
    <n v="12530.42"/>
    <n v="0"/>
    <n v="0"/>
    <n v="14116.42"/>
  </r>
  <r>
    <s v="Credit"/>
    <s v="Credit"/>
    <m/>
    <x v="99"/>
    <s v="TVLRO V7.125 PERP"/>
    <n v="2440000"/>
    <s v="EUR"/>
    <n v="100.068"/>
    <n v="0"/>
    <n v="-23425.25"/>
    <n v="0"/>
    <n v="-57925.919999999998"/>
    <n v="47171.81"/>
    <n v="0"/>
    <n v="0"/>
    <n v="-34179.360000000001"/>
  </r>
  <r>
    <s v="Credit"/>
    <s v="Credit"/>
    <m/>
    <x v="100"/>
    <s v="TYH6"/>
    <n v="0"/>
    <s v="USD"/>
    <n v="0"/>
    <n v="16271.09"/>
    <n v="137859.38"/>
    <n v="0"/>
    <n v="0"/>
    <n v="0"/>
    <n v="0"/>
    <n v="-349.45999999999202"/>
    <n v="153781.01"/>
  </r>
  <r>
    <s v="Credit"/>
    <s v="Credit"/>
    <m/>
    <x v="101"/>
    <s v="TYM6"/>
    <n v="173"/>
    <s v="USD"/>
    <n v="110.15625"/>
    <n v="0"/>
    <n v="-540339.46"/>
    <n v="0"/>
    <n v="0"/>
    <n v="0"/>
    <n v="0"/>
    <n v="-349.45999999996297"/>
    <n v="-540688.92000000004"/>
  </r>
  <r>
    <s v="Credit"/>
    <s v="Credit"/>
    <m/>
    <x v="102"/>
    <s v="U.S. Dollars"/>
    <n v="31332869.219999999"/>
    <s v="USD"/>
    <n v="1"/>
    <n v="0"/>
    <n v="0"/>
    <n v="0"/>
    <n v="0"/>
    <n v="0"/>
    <n v="0"/>
    <n v="-1112.3900000000001"/>
    <n v="-1112.3900000000001"/>
  </r>
  <r>
    <s v="Credit"/>
    <s v="Credit"/>
    <m/>
    <x v="103"/>
    <s v="VKFP 7.5 04/15/32 REGS"/>
    <n v="0"/>
    <s v="USD"/>
    <n v="0"/>
    <n v="49504"/>
    <n v="-56291.94"/>
    <n v="0"/>
    <n v="0"/>
    <n v="15684.17"/>
    <n v="0"/>
    <n v="0"/>
    <n v="8896.23"/>
  </r>
  <r>
    <s v="Credit"/>
    <s v="Credit"/>
    <m/>
    <x v="104"/>
    <s v="YPANBR 8.947 07/31/42 REGS"/>
    <n v="1780028.8171000001"/>
    <s v="USD"/>
    <n v="108.35899999999999"/>
    <n v="-994.83"/>
    <n v="-14644.87"/>
    <n v="0"/>
    <n v="0"/>
    <n v="38501.03"/>
    <n v="0"/>
    <n v="0"/>
    <n v="22861.33"/>
  </r>
  <r>
    <s v="Credit"/>
    <s v="Credit"/>
    <m/>
    <x v="105"/>
    <s v="YPMQBR 8.498 01/31/45 REGS"/>
    <n v="1805661"/>
    <s v="USD"/>
    <n v="105.477"/>
    <n v="-832.99"/>
    <n v="4733.75"/>
    <n v="0"/>
    <n v="0"/>
    <n v="37249.160000000003"/>
    <n v="0"/>
    <n v="0"/>
    <n v="41149.919999999998"/>
  </r>
  <r>
    <s v="Credit"/>
    <s v="Credit"/>
    <m/>
    <x v="0"/>
    <s v="ARAMCO 5 02/02/36 REGS"/>
    <n v="780000"/>
    <s v="USD"/>
    <n v="96.054000000000002"/>
    <n v="0"/>
    <n v="-20709"/>
    <n v="0"/>
    <n v="0"/>
    <n v="6066.67"/>
    <n v="0"/>
    <n v="0"/>
    <n v="-14642.33"/>
  </r>
  <r>
    <s v="Credit"/>
    <s v="Credit"/>
    <m/>
    <x v="1"/>
    <s v="ARAMCO 5.75 07/17/54 REGS"/>
    <n v="975000"/>
    <s v="USD"/>
    <n v="91.441000000000003"/>
    <n v="0"/>
    <n v="-39380.25"/>
    <n v="0"/>
    <n v="0"/>
    <n v="3612.92"/>
    <n v="0"/>
    <n v="0"/>
    <n v="-35767.33"/>
  </r>
  <r>
    <s v="Credit"/>
    <s v="Credit"/>
    <m/>
    <x v="2"/>
    <s v="ARAMCO 6 02/02/56 REGS"/>
    <n v="2340000"/>
    <s v="USD"/>
    <n v="94.230999999999995"/>
    <n v="0"/>
    <n v="-109547.1"/>
    <n v="0"/>
    <n v="0"/>
    <n v="11440"/>
    <n v="0"/>
    <n v="0"/>
    <n v="-98107.1"/>
  </r>
  <r>
    <s v="Credit"/>
    <s v="Credit"/>
    <m/>
    <x v="3"/>
    <s v="ASNBNK 7 PERP"/>
    <n v="600000"/>
    <s v="EUR"/>
    <n v="102.889"/>
    <n v="0"/>
    <n v="-10571.72"/>
    <n v="0"/>
    <n v="-14540.63"/>
    <n v="11382.31"/>
    <n v="0"/>
    <n v="0"/>
    <n v="-13730.04"/>
  </r>
  <r>
    <s v="Credit"/>
    <s v="Credit"/>
    <m/>
    <x v="4"/>
    <s v="AZURGY 8.25 01/22/31 REGS"/>
    <n v="468000"/>
    <s v="USD"/>
    <n v="101.2"/>
    <n v="585"/>
    <n v="5616"/>
    <n v="0"/>
    <n v="0"/>
    <n v="7078.5"/>
    <n v="0"/>
    <n v="0"/>
    <n v="13279.5"/>
  </r>
  <r>
    <s v="Credit"/>
    <s v="Credit"/>
    <m/>
    <x v="5"/>
    <s v="AZURGY 8.625 01/22/33 REGS"/>
    <n v="1560000"/>
    <s v="USD"/>
    <n v="100.96299999999999"/>
    <n v="0"/>
    <n v="15022.8"/>
    <n v="0"/>
    <n v="0"/>
    <n v="24667.5"/>
    <n v="0"/>
    <n v="0"/>
    <n v="39690.300000000003"/>
  </r>
  <r>
    <s v="Credit"/>
    <s v="Credit"/>
    <m/>
    <x v="6"/>
    <s v="BANQUE V7.25 PERP"/>
    <n v="1000000"/>
    <s v="EUR"/>
    <n v="102.637"/>
    <n v="0"/>
    <n v="-36898.379999999997"/>
    <n v="0"/>
    <n v="-25051"/>
    <n v="19961.849999999999"/>
    <n v="0"/>
    <n v="0"/>
    <n v="-41987.53"/>
  </r>
  <r>
    <s v="Credit"/>
    <s v="Credit"/>
    <m/>
    <x v="7"/>
    <s v="BAYNGR V7 09/25/83"/>
    <n v="1500000"/>
    <s v="EUR"/>
    <n v="106.108"/>
    <n v="0"/>
    <n v="-83780.69"/>
    <n v="0"/>
    <n v="-41141.79"/>
    <n v="20531.080000000002"/>
    <n v="0"/>
    <n v="0"/>
    <n v="-104391.4"/>
  </r>
  <r>
    <s v="Credit"/>
    <s v="Credit"/>
    <m/>
    <x v="8"/>
    <s v="BGARIA 3.375 07/18/35 10Y"/>
    <n v="585000"/>
    <s v="EUR"/>
    <n v="95.498000000000005"/>
    <n v="0"/>
    <n v="-18995.37"/>
    <n v="0"/>
    <n v="-13472.37"/>
    <n v="5145.37"/>
    <n v="0"/>
    <n v="0"/>
    <n v="-27322.37"/>
  </r>
  <r>
    <s v="Credit"/>
    <s v="Credit"/>
    <m/>
    <x v="9"/>
    <s v="BGARIA 4.125 07/18/45 20Y"/>
    <n v="585000"/>
    <s v="EUR"/>
    <n v="93.581999999999994"/>
    <n v="0"/>
    <n v="-17112.490000000002"/>
    <n v="0"/>
    <n v="-13338.74"/>
    <n v="6288.78"/>
    <n v="0"/>
    <n v="0"/>
    <n v="-24162.45"/>
  </r>
  <r>
    <s v="Credit"/>
    <s v="Credit"/>
    <m/>
    <x v="10"/>
    <s v="BNCN 6.3 01/15/55"/>
    <n v="2050000"/>
    <s v="USD"/>
    <n v="94.96"/>
    <n v="0"/>
    <n v="-87986"/>
    <n v="0"/>
    <n v="0"/>
    <n v="31211.25"/>
    <n v="0"/>
    <n v="0"/>
    <n v="-56774.75"/>
  </r>
  <r>
    <s v="Credit"/>
    <s v="Credit"/>
    <m/>
    <x v="11"/>
    <s v="BNP V5.625 PERP GMTN"/>
    <n v="1600000"/>
    <s v="EUR"/>
    <n v="93.83"/>
    <n v="0"/>
    <n v="-113695.82"/>
    <n v="0"/>
    <n v="-60480"/>
    <n v="11453.37"/>
    <n v="0"/>
    <n v="0"/>
    <n v="-162722.45000000001"/>
  </r>
  <r>
    <s v="Credit"/>
    <s v="Credit"/>
    <m/>
    <x v="12"/>
    <s v="BNP V7.375 PERP REGS"/>
    <n v="0"/>
    <s v="USD"/>
    <n v="0"/>
    <n v="29250"/>
    <n v="-20599.8"/>
    <n v="0"/>
    <n v="0"/>
    <n v="6231.87"/>
    <n v="0"/>
    <n v="0"/>
    <n v="14882.07"/>
  </r>
  <r>
    <s v="Credit"/>
    <s v="Credit"/>
    <m/>
    <x v="13"/>
    <s v="BNP V8 PERP REGS"/>
    <n v="0"/>
    <s v="USD"/>
    <n v="0"/>
    <n v="16662.5"/>
    <n v="-11059.6"/>
    <n v="0"/>
    <n v="0"/>
    <n v="3726.66"/>
    <n v="0"/>
    <n v="0"/>
    <n v="9329.56"/>
  </r>
  <r>
    <s v="Credit"/>
    <s v="Credit"/>
    <m/>
    <x v="14"/>
    <s v="BRAZIL 5.5 02/04/33 Corp"/>
    <n v="1170000"/>
    <s v="USD"/>
    <n v="97.397999999999996"/>
    <n v="-345.15"/>
    <n v="-17526.599999999999"/>
    <n v="0"/>
    <n v="0"/>
    <n v="17249.37"/>
    <n v="0"/>
    <n v="0"/>
    <n v="-622.37999999999704"/>
  </r>
  <r>
    <s v="Credit"/>
    <s v="Credit"/>
    <m/>
    <x v="15"/>
    <s v="BRAZIL 6.25 05/22/36"/>
    <n v="273000"/>
    <s v="USD"/>
    <n v="97.277000000000001"/>
    <n v="0"/>
    <n v="-4419.87"/>
    <n v="0"/>
    <n v="0"/>
    <n v="1848.44"/>
    <n v="0"/>
    <n v="0"/>
    <n v="-2571.4299999999998"/>
  </r>
  <r>
    <s v="Credit"/>
    <s v="Credit"/>
    <m/>
    <x v="16"/>
    <s v="BRAZIL 6.625 03/15/35"/>
    <n v="1170000"/>
    <s v="USD"/>
    <n v="101.41500000000001"/>
    <n v="0"/>
    <n v="-19784.7"/>
    <n v="0"/>
    <n v="0"/>
    <n v="18732.18"/>
    <n v="0"/>
    <n v="0"/>
    <n v="-1052.52"/>
  </r>
  <r>
    <s v="Credit"/>
    <s v="Credit"/>
    <m/>
    <x v="17"/>
    <s v="BRAZIL 7.25 01/12/56"/>
    <n v="4290000"/>
    <s v="USD"/>
    <n v="96.988"/>
    <n v="0"/>
    <n v="-96981.3"/>
    <n v="0"/>
    <n v="0"/>
    <n v="71394.39"/>
    <n v="0"/>
    <n v="0"/>
    <n v="-25586.91"/>
  </r>
  <r>
    <s v="Credit"/>
    <s v="Credit"/>
    <m/>
    <x v="18"/>
    <s v="CCBGBB V6.125 PERP"/>
    <n v="1200000"/>
    <s v="EUR"/>
    <n v="100.399"/>
    <n v="0"/>
    <n v="-38696.65"/>
    <n v="0"/>
    <n v="-28002.6"/>
    <n v="20193.18"/>
    <n v="0"/>
    <n v="0"/>
    <n v="-46506.07"/>
  </r>
  <r>
    <s v="Credit"/>
    <s v="Credit"/>
    <m/>
    <x v="19"/>
    <s v="CDEL 6.33 01/13/35"/>
    <n v="1950000"/>
    <s v="USD"/>
    <n v="103.462"/>
    <n v="0"/>
    <n v="-60138"/>
    <n v="0"/>
    <n v="0"/>
    <n v="29830.13"/>
    <n v="0"/>
    <n v="0"/>
    <n v="-30307.87"/>
  </r>
  <r>
    <s v="Credit"/>
    <s v="Credit"/>
    <m/>
    <x v="20"/>
    <s v="CDEL 6.78 01/13/55"/>
    <n v="1560000"/>
    <s v="USD"/>
    <n v="103.989"/>
    <n v="0"/>
    <n v="-57595.199999999997"/>
    <n v="0"/>
    <n v="0"/>
    <n v="25560.6"/>
    <n v="0"/>
    <n v="0"/>
    <n v="-32034.6"/>
  </r>
  <r>
    <s v="Credit"/>
    <s v="Credit"/>
    <m/>
    <x v="21"/>
    <s v="CDS BRAZIL 1pct 20 DEC 2030"/>
    <n v="0"/>
    <s v="USD"/>
    <n v="0"/>
    <n v="-964.99"/>
    <n v="7756.93"/>
    <n v="0"/>
    <n v="0"/>
    <n v="-20312.5"/>
    <n v="0"/>
    <n v="0"/>
    <n v="-13520.56"/>
  </r>
  <r>
    <s v="Credit"/>
    <s v="Credit"/>
    <m/>
    <x v="22"/>
    <s v="CDS BRAZIL 1pct 20 JUN 2031"/>
    <n v="9750000"/>
    <s v="USD"/>
    <n v="1.9822356759638999"/>
    <n v="0"/>
    <n v="-47895.9"/>
    <n v="0"/>
    <n v="0"/>
    <n v="-2437.5"/>
    <n v="0"/>
    <n v="0"/>
    <n v="-50333.4"/>
  </r>
  <r>
    <s v="Credit"/>
    <s v="Credit"/>
    <m/>
    <x v="23"/>
    <s v="CDS COLOM 1pct 20 DEC 2030"/>
    <n v="0"/>
    <s v="USD"/>
    <n v="0"/>
    <n v="43801.13"/>
    <n v="-23531.759999999998"/>
    <n v="0"/>
    <n v="0"/>
    <n v="-19662.509999999998"/>
    <n v="0"/>
    <n v="0"/>
    <n v="606.85999999999899"/>
  </r>
  <r>
    <s v="Credit"/>
    <s v="Credit"/>
    <m/>
    <x v="24"/>
    <s v="CDS COLOM 1pct 20 JUN 2031"/>
    <n v="5850000"/>
    <s v="USD"/>
    <n v="5.6603389129683999"/>
    <n v="0"/>
    <n v="-8912.4500000000007"/>
    <n v="0"/>
    <n v="0"/>
    <n v="-1462.5"/>
    <n v="0"/>
    <n v="0"/>
    <n v="-10374.950000000001"/>
  </r>
  <r>
    <s v="Credit"/>
    <s v="Credit"/>
    <m/>
    <x v="25"/>
    <s v="CDS SAUDI 1pct 20 DEC 2030"/>
    <n v="0"/>
    <s v="USD"/>
    <n v="0"/>
    <n v="11056.68"/>
    <n v="0"/>
    <n v="0"/>
    <n v="0"/>
    <n v="216.67"/>
    <n v="0"/>
    <n v="0"/>
    <n v="11273.35"/>
  </r>
  <r>
    <s v="Credit"/>
    <s v="Credit"/>
    <m/>
    <x v="26"/>
    <s v="CDX HY45 5pct 20 DEC 2030"/>
    <n v="0"/>
    <s v="USD"/>
    <n v="0"/>
    <n v="33735.39"/>
    <n v="-93077.39"/>
    <n v="0"/>
    <n v="0"/>
    <n v="-12241.68"/>
    <n v="0"/>
    <n v="0"/>
    <n v="-71583.679999999993"/>
  </r>
  <r>
    <s v="Credit"/>
    <s v="Credit"/>
    <m/>
    <x v="27"/>
    <s v="CDX HY45 5pct 20 DEC 2030 V2"/>
    <n v="0"/>
    <s v="USD"/>
    <n v="-4.5130999999999997"/>
    <n v="-9380.25"/>
    <n v="68168.600000000006"/>
    <n v="0"/>
    <n v="0"/>
    <n v="12333.75"/>
    <n v="0"/>
    <n v="0"/>
    <n v="71122.100000000006"/>
  </r>
  <r>
    <s v="Credit"/>
    <s v="Credit"/>
    <m/>
    <x v="28"/>
    <s v="CDX HY46 5pct 20 JUN 2031"/>
    <n v="-3900000"/>
    <s v="USD"/>
    <n v="0"/>
    <n v="0"/>
    <n v="7363.2"/>
    <n v="0"/>
    <n v="0"/>
    <n v="0"/>
    <n v="0"/>
    <n v="0"/>
    <n v="7363.2"/>
  </r>
  <r>
    <s v="Credit"/>
    <s v="Credit"/>
    <m/>
    <x v="30"/>
    <s v="CDX IG 45 3%-7% Tranche"/>
    <n v="0"/>
    <s v="USD"/>
    <n v="0"/>
    <n v="63375"/>
    <n v="-34905"/>
    <n v="0"/>
    <n v="0"/>
    <n v="7041.67"/>
    <n v="0"/>
    <n v="0"/>
    <n v="35511.67"/>
  </r>
  <r>
    <s v="Credit"/>
    <s v="Credit"/>
    <m/>
    <x v="31"/>
    <s v="CDX IG45 1pct 20 DEC 2030"/>
    <n v="0"/>
    <s v="USD"/>
    <n v="0"/>
    <n v="-6837.58"/>
    <n v="13945.09"/>
    <n v="0"/>
    <n v="0"/>
    <n v="-35587.51"/>
    <n v="0"/>
    <n v="0"/>
    <n v="-28480"/>
  </r>
  <r>
    <s v="Credit"/>
    <s v="Credit"/>
    <m/>
    <x v="32"/>
    <s v="CDX IG46 1pct 20 JUN 2031"/>
    <n v="19500000"/>
    <s v="USD"/>
    <n v="-1.5208204113287001"/>
    <n v="0"/>
    <n v="24791.1"/>
    <n v="0"/>
    <n v="0"/>
    <n v="-3791.66"/>
    <n v="0"/>
    <n v="0"/>
    <n v="20999.439999999999"/>
  </r>
  <r>
    <s v="Credit"/>
    <s v="Credit"/>
    <m/>
    <x v="33"/>
    <s v="CDX ITR-XOVER S44 5pct 20 DEC 2030"/>
    <n v="0"/>
    <s v="EUR"/>
    <n v="0"/>
    <n v="378913.39"/>
    <n v="172536.14"/>
    <n v="50858.42"/>
    <n v="-9634.16"/>
    <n v="-195436.88"/>
    <n v="0"/>
    <n v="1.7462298274040199E-10"/>
    <n v="397236.91"/>
  </r>
  <r>
    <s v="Credit"/>
    <s v="Credit"/>
    <m/>
    <x v="34"/>
    <s v="CDX ITR-XOVER S45 5pct 20 JUN 2031"/>
    <n v="-3901000"/>
    <s v="EUR"/>
    <n v="0"/>
    <n v="0"/>
    <n v="-35109.81"/>
    <n v="0"/>
    <n v="-1064.01"/>
    <n v="4365.7700000000004"/>
    <n v="0"/>
    <n v="0"/>
    <n v="-31808.05"/>
  </r>
  <r>
    <s v="Credit"/>
    <s v="Credit"/>
    <m/>
    <x v="35"/>
    <s v="CDX ITRX EUR SUB FIN 1pct 20 DEC 2030"/>
    <n v="0"/>
    <s v="EUR"/>
    <n v="0"/>
    <n v="45687.82"/>
    <n v="48838.83"/>
    <n v="-194.51"/>
    <n v="53.23"/>
    <n v="-20391.86"/>
    <n v="0"/>
    <n v="0"/>
    <n v="73993.509999999995"/>
  </r>
  <r>
    <s v="Credit"/>
    <s v="Credit"/>
    <m/>
    <x v="36"/>
    <s v="CDX ITRX EUROPE 1pct 20 DEC 2030"/>
    <n v="0"/>
    <s v="EUR"/>
    <n v="0"/>
    <n v="-91306.28"/>
    <n v="-45244.76"/>
    <n v="4865.24"/>
    <n v="5422.01"/>
    <n v="84572.1"/>
    <n v="0"/>
    <n v="0"/>
    <n v="-41691.69"/>
  </r>
  <r>
    <s v="Credit"/>
    <s v="Credit"/>
    <m/>
    <x v="37"/>
    <s v="CDX ITRX EUROPE 1pct 20 JUN 2031"/>
    <n v="-54600000"/>
    <s v="EUR"/>
    <n v="0"/>
    <n v="0"/>
    <n v="-93240.5"/>
    <n v="0"/>
    <n v="-3178.89"/>
    <n v="12220.99"/>
    <n v="0"/>
    <n v="0"/>
    <n v="-84198.399999999994"/>
  </r>
  <r>
    <s v="Credit"/>
    <s v="Credit"/>
    <m/>
    <x v="38"/>
    <s v="COLOM 4.5 11/26/30"/>
    <n v="214000"/>
    <s v="EUR"/>
    <n v="96.817999999999998"/>
    <n v="0"/>
    <n v="-3447.54"/>
    <n v="0"/>
    <n v="-4985.09"/>
    <n v="2590.88"/>
    <n v="0"/>
    <n v="0"/>
    <n v="-5841.75"/>
  </r>
  <r>
    <s v="Credit"/>
    <s v="Credit"/>
    <m/>
    <x v="39"/>
    <s v="COLOM 5 09/19/32"/>
    <n v="585000"/>
    <s v="EUR"/>
    <n v="94.463999999999999"/>
    <n v="0"/>
    <n v="-9830.89"/>
    <n v="0"/>
    <n v="-13729.17"/>
    <n v="7946.32"/>
    <n v="0"/>
    <n v="0"/>
    <n v="-15613.74"/>
  </r>
  <r>
    <s v="Credit"/>
    <s v="Credit"/>
    <m/>
    <x v="40"/>
    <s v="COLOM 5.625 02/19/36"/>
    <n v="390000"/>
    <s v="EUR"/>
    <n v="91.475999999999999"/>
    <n v="0"/>
    <n v="-10156.5"/>
    <n v="0"/>
    <n v="-9112.56"/>
    <n v="6254.93"/>
    <n v="0"/>
    <n v="0"/>
    <n v="-13014.13"/>
  </r>
  <r>
    <s v="Credit"/>
    <s v="Credit"/>
    <m/>
    <x v="41"/>
    <s v="COLOM 5.75 11/26/34"/>
    <n v="390000"/>
    <s v="EUR"/>
    <n v="94.465000000000003"/>
    <n v="0"/>
    <n v="-11397.77"/>
    <n v="0"/>
    <n v="-9071.06"/>
    <n v="6033.26"/>
    <n v="0"/>
    <n v="0"/>
    <n v="-14435.57"/>
  </r>
  <r>
    <s v="Credit"/>
    <s v="Credit"/>
    <m/>
    <x v="42"/>
    <s v="COLOM 6.5 11/26/38"/>
    <n v="195000"/>
    <s v="EUR"/>
    <n v="95.22"/>
    <n v="0"/>
    <n v="-3424.89"/>
    <n v="0"/>
    <n v="-4543.32"/>
    <n v="3410.1"/>
    <n v="0"/>
    <n v="0"/>
    <n v="-4558.1099999999997"/>
  </r>
  <r>
    <s v="Credit"/>
    <s v="Credit"/>
    <m/>
    <x v="43"/>
    <s v="COLOM 7.5 02/02/34"/>
    <n v="900000"/>
    <s v="USD"/>
    <n v="102.27800000000001"/>
    <n v="3978"/>
    <n v="-21251.4"/>
    <n v="0"/>
    <n v="0"/>
    <n v="17856.25"/>
    <n v="0"/>
    <n v="0"/>
    <n v="582.849999999999"/>
  </r>
  <r>
    <s v="Credit"/>
    <s v="Credit"/>
    <m/>
    <x v="44"/>
    <s v="COLOM 8 11/14/35"/>
    <n v="2584000"/>
    <s v="USD"/>
    <n v="104.866"/>
    <n v="0"/>
    <n v="-50052.08"/>
    <n v="0"/>
    <n v="0"/>
    <n v="49957.33"/>
    <n v="0"/>
    <n v="0"/>
    <n v="-94.750000000001805"/>
  </r>
  <r>
    <s v="Credit"/>
    <s v="Credit"/>
    <m/>
    <x v="45"/>
    <s v="COLOM 8.375 11/07/54"/>
    <n v="898000"/>
    <s v="USD"/>
    <n v="103.233"/>
    <n v="0"/>
    <n v="-26374.26"/>
    <n v="0"/>
    <n v="0"/>
    <n v="18175.150000000001"/>
    <n v="0"/>
    <n v="0"/>
    <n v="-8199.11"/>
  </r>
  <r>
    <s v="Credit"/>
    <s v="Credit"/>
    <m/>
    <x v="46"/>
    <s v="DANBNK V4.375 PERP"/>
    <n v="0"/>
    <s v="USD"/>
    <n v="0"/>
    <n v="45495.75"/>
    <n v="-46782.75"/>
    <n v="0"/>
    <n v="0"/>
    <n v="9100"/>
    <n v="0"/>
    <n v="0"/>
    <n v="7813"/>
  </r>
  <r>
    <s v="Credit"/>
    <s v="Credit"/>
    <m/>
    <x v="47"/>
    <s v="DNBNO V7.375 PERP EMTN"/>
    <n v="2150000"/>
    <s v="USD"/>
    <n v="102.23399999999999"/>
    <n v="0"/>
    <n v="-62307"/>
    <n v="0"/>
    <n v="0"/>
    <n v="38319.269999999997"/>
    <n v="0"/>
    <n v="0"/>
    <n v="-23987.73"/>
  </r>
  <r>
    <s v="Credit"/>
    <s v="Credit"/>
    <m/>
    <x v="48"/>
    <s v="DNONO 10.75 06/17/85 1235"/>
    <n v="1170000"/>
    <s v="USD"/>
    <n v="104.068"/>
    <n v="0"/>
    <n v="-8622.9"/>
    <n v="0"/>
    <n v="0"/>
    <n v="30065.39"/>
    <n v="0"/>
    <n v="0"/>
    <n v="21442.49"/>
  </r>
  <r>
    <s v="Credit"/>
    <s v="Credit"/>
    <m/>
    <x v="49"/>
    <s v="ECOPET 5.875 05/28/45"/>
    <n v="390000"/>
    <s v="USD"/>
    <n v="73.31"/>
    <n v="0"/>
    <n v="-5452.2"/>
    <n v="0"/>
    <n v="0"/>
    <n v="5537.19"/>
    <n v="0"/>
    <n v="0"/>
    <n v="84.990000000000705"/>
  </r>
  <r>
    <s v="Credit"/>
    <s v="Credit"/>
    <m/>
    <x v="50"/>
    <s v="ECOPET 5.875 11/02/51"/>
    <n v="390000"/>
    <s v="USD"/>
    <n v="70.481999999999999"/>
    <n v="0"/>
    <n v="-6045"/>
    <n v="0"/>
    <n v="0"/>
    <n v="5537.19"/>
    <n v="0"/>
    <n v="0"/>
    <n v="-507.80999999999898"/>
  </r>
  <r>
    <s v="Credit"/>
    <s v="Credit"/>
    <m/>
    <x v="51"/>
    <s v="ECOPET 7.75 02/01/32"/>
    <n v="780000"/>
    <s v="USD"/>
    <n v="100.79600000000001"/>
    <n v="0"/>
    <n v="-14398.8"/>
    <n v="0"/>
    <n v="0"/>
    <n v="14608.74"/>
    <n v="0"/>
    <n v="0"/>
    <n v="209.94000000000199"/>
  </r>
  <r>
    <s v="Credit"/>
    <s v="Credit"/>
    <m/>
    <x v="52"/>
    <s v="ECOPET 8.375 01/19/36"/>
    <n v="1950000"/>
    <s v="USD"/>
    <n v="101.12"/>
    <n v="0"/>
    <n v="-34203"/>
    <n v="0"/>
    <n v="0"/>
    <n v="39467.18"/>
    <n v="0"/>
    <n v="0"/>
    <n v="5264.18"/>
  </r>
  <r>
    <s v="Credit"/>
    <s v="Credit"/>
    <m/>
    <x v="53"/>
    <s v="ECOPET 8.875 01/13/33"/>
    <n v="410000"/>
    <s v="USD"/>
    <n v="105.065"/>
    <n v="0"/>
    <n v="-6678.9"/>
    <n v="0"/>
    <n v="0"/>
    <n v="8793.65"/>
    <n v="0"/>
    <n v="0"/>
    <n v="2114.75"/>
  </r>
  <r>
    <s v="Credit"/>
    <s v="Credit"/>
    <m/>
    <x v="54"/>
    <s v="EDF V4.375 PERP EMTN"/>
    <n v="700000"/>
    <s v="EUR"/>
    <n v="96.554000000000002"/>
    <n v="0"/>
    <n v="-20223.54"/>
    <n v="0"/>
    <n v="-16349"/>
    <n v="8353.86"/>
    <n v="0"/>
    <n v="0"/>
    <n v="-28218.68"/>
  </r>
  <r>
    <s v="Credit"/>
    <s v="Credit"/>
    <m/>
    <x v="55"/>
    <s v="EDF V9.125 PERP REGS"/>
    <n v="2340000"/>
    <s v="USD"/>
    <n v="115.533"/>
    <n v="0"/>
    <n v="-11232"/>
    <n v="0"/>
    <n v="0"/>
    <n v="51601.86"/>
    <n v="0"/>
    <n v="0"/>
    <n v="40369.86"/>
  </r>
  <r>
    <s v="Credit"/>
    <s v="Credit"/>
    <m/>
    <x v="56"/>
    <s v="ENAPCL 5.95 07/30/34 REGS"/>
    <n v="2042000"/>
    <s v="USD"/>
    <n v="101.459"/>
    <n v="0"/>
    <n v="-64180.06"/>
    <n v="0"/>
    <n v="0"/>
    <n v="29362.26"/>
    <n v="0"/>
    <n v="0"/>
    <n v="-34817.800000000003"/>
  </r>
  <r>
    <s v="Credit"/>
    <s v="Credit"/>
    <m/>
    <x v="57"/>
    <s v="ENAPCL 6.15 05/10/33"/>
    <n v="1338000"/>
    <s v="USD"/>
    <n v="103"/>
    <n v="0"/>
    <n v="-40407.599999999999"/>
    <n v="0"/>
    <n v="0"/>
    <n v="19886.02"/>
    <n v="0"/>
    <n v="0"/>
    <n v="-20521.580000000002"/>
  </r>
  <r>
    <s v="Credit"/>
    <s v="Credit"/>
    <m/>
    <x v="58"/>
    <s v="Euro"/>
    <n v="-16326118.279999999"/>
    <s v="EUR"/>
    <n v="0.86334200000000005"/>
    <n v="0"/>
    <n v="0"/>
    <n v="-328600.68"/>
    <n v="782044.72"/>
    <n v="0"/>
    <n v="0"/>
    <n v="0"/>
    <n v="453444.04"/>
  </r>
  <r>
    <s v="Credit"/>
    <s v="Credit"/>
    <m/>
    <x v="59"/>
    <s v="FRLBP V3 PERP"/>
    <n v="600000"/>
    <s v="EUR"/>
    <n v="93.111999999999995"/>
    <n v="0"/>
    <n v="-3367.93"/>
    <n v="0"/>
    <n v="-13046.72"/>
    <n v="4902.96"/>
    <n v="0"/>
    <n v="0"/>
    <n v="-11511.69"/>
  </r>
  <r>
    <s v="Credit"/>
    <s v="Credit"/>
    <m/>
    <x v="60"/>
    <s v="ISRAEL 3.8 05/13/60"/>
    <n v="2631000"/>
    <s v="USD"/>
    <n v="64.525000000000006"/>
    <n v="14040"/>
    <n v="-72813.66"/>
    <n v="0"/>
    <n v="0"/>
    <n v="31941.84"/>
    <n v="0"/>
    <n v="0"/>
    <n v="-26831.82"/>
  </r>
  <r>
    <s v="Credit"/>
    <s v="Credit"/>
    <m/>
    <x v="61"/>
    <s v="ISRAEL 4.5 04/03/20"/>
    <n v="5940000"/>
    <s v="USD"/>
    <n v="71.149000000000001"/>
    <n v="0"/>
    <n v="-211820.4"/>
    <n v="0"/>
    <n v="0"/>
    <n v="64597.51"/>
    <n v="0"/>
    <n v="0"/>
    <n v="-147222.89000000001"/>
  </r>
  <r>
    <s v="Credit"/>
    <s v="Credit"/>
    <m/>
    <x v="62"/>
    <s v="ISRAEL 5.75 03/12/54"/>
    <n v="4017000"/>
    <s v="USD"/>
    <n v="93.094999999999999"/>
    <n v="55960.77"/>
    <n v="-144493.5"/>
    <n v="0"/>
    <n v="0"/>
    <n v="76313.539999999994"/>
    <n v="0"/>
    <n v="0"/>
    <n v="-12219.19"/>
  </r>
  <r>
    <s v="Credit"/>
    <s v="Credit"/>
    <m/>
    <x v="63"/>
    <s v="ITAU V3.875 04/15/31 REGS"/>
    <n v="0"/>
    <s v="USD"/>
    <n v="0"/>
    <n v="4087.5"/>
    <n v="-3264.55"/>
    <n v="0"/>
    <n v="0"/>
    <n v="821.29000000000099"/>
    <n v="0"/>
    <n v="0"/>
    <n v="1644.24"/>
  </r>
  <r>
    <s v="Credit"/>
    <s v="Credit"/>
    <m/>
    <x v="64"/>
    <s v="KSA 4.5 04/22/60 REGS"/>
    <n v="2340000"/>
    <s v="USD"/>
    <n v="75.900999999999996"/>
    <n v="0"/>
    <n v="-53250.6"/>
    <n v="0"/>
    <n v="0"/>
    <n v="6727.5"/>
    <n v="0"/>
    <n v="0"/>
    <n v="-46523.1"/>
  </r>
  <r>
    <s v="Credit"/>
    <s v="Credit"/>
    <m/>
    <x v="65"/>
    <s v="KSA 5 01/18/53 REGS"/>
    <n v="975000"/>
    <s v="USD"/>
    <n v="83.994"/>
    <n v="0"/>
    <n v="-33939.75"/>
    <n v="0"/>
    <n v="0"/>
    <n v="2979.17"/>
    <n v="0"/>
    <n v="0"/>
    <n v="-30960.58"/>
  </r>
  <r>
    <s v="Credit"/>
    <s v="Credit"/>
    <m/>
    <x v="66"/>
    <s v="KSA 5.875 01/12/56 REGS"/>
    <n v="975000"/>
    <s v="USD"/>
    <n v="94.825000000000003"/>
    <n v="0"/>
    <n v="-32175"/>
    <n v="0"/>
    <n v="0"/>
    <n v="3500.52"/>
    <n v="0"/>
    <n v="0"/>
    <n v="-28674.48"/>
  </r>
  <r>
    <s v="Credit"/>
    <s v="Credit"/>
    <m/>
    <x v="67"/>
    <s v="MEX 4.75 03/22/31"/>
    <n v="585000"/>
    <s v="USD"/>
    <n v="97.078000000000003"/>
    <n v="-5177.25"/>
    <n v="-6165.9"/>
    <n v="0"/>
    <n v="0"/>
    <n v="8181.89"/>
    <n v="0"/>
    <n v="0"/>
    <n v="-3161.26"/>
  </r>
  <r>
    <s v="Credit"/>
    <s v="Credit"/>
    <m/>
    <x v="68"/>
    <s v="MEX 5.375 03/22/33"/>
    <n v="1370000"/>
    <s v="USD"/>
    <n v="97.054000000000002"/>
    <n v="0"/>
    <n v="-29907.1"/>
    <n v="0"/>
    <n v="0"/>
    <n v="17795.740000000002"/>
    <n v="0"/>
    <n v="0"/>
    <n v="-12111.36"/>
  </r>
  <r>
    <s v="Credit"/>
    <s v="Credit"/>
    <m/>
    <x v="69"/>
    <s v="MEX 5.5 08/17/30"/>
    <n v="1755000"/>
    <s v="USD"/>
    <n v="99.989000000000004"/>
    <n v="0"/>
    <n v="-33029.1"/>
    <n v="0"/>
    <n v="0"/>
    <n v="23326.87"/>
    <n v="0"/>
    <n v="0"/>
    <n v="-9702.23"/>
  </r>
  <r>
    <s v="Credit"/>
    <s v="Credit"/>
    <m/>
    <x v="70"/>
    <s v="MEX 5.625 09/22/35"/>
    <n v="3510000"/>
    <s v="USD"/>
    <n v="95.858999999999995"/>
    <n v="0"/>
    <n v="-100912.5"/>
    <n v="0"/>
    <n v="0"/>
    <n v="47714.05"/>
    <n v="0"/>
    <n v="0"/>
    <n v="-53198.45"/>
  </r>
  <r>
    <s v="Credit"/>
    <s v="Credit"/>
    <m/>
    <x v="71"/>
    <s v="NDAFH V3.75 PERP REGS"/>
    <n v="590000"/>
    <s v="USD"/>
    <n v="92.876000000000005"/>
    <n v="0"/>
    <n v="-9835.2999999999993"/>
    <n v="0"/>
    <n v="0"/>
    <n v="5346.88"/>
    <n v="0"/>
    <n v="0"/>
    <n v="-4488.42"/>
  </r>
  <r>
    <s v="Credit"/>
    <s v="Credit"/>
    <m/>
    <x v="72"/>
    <s v="NDAFH V6.625 PERP REGS"/>
    <n v="0"/>
    <s v="USD"/>
    <n v="0"/>
    <n v="20185"/>
    <n v="-23960.2"/>
    <n v="0"/>
    <n v="0"/>
    <n v="7464.18"/>
    <n v="0"/>
    <n v="0"/>
    <n v="3688.98"/>
  </r>
  <r>
    <s v="Credit"/>
    <s v="Credit"/>
    <m/>
    <x v="73"/>
    <s v="NDAFH V6.75 PERP REGS"/>
    <n v="1560000"/>
    <s v="USD"/>
    <n v="99.203000000000003"/>
    <n v="0"/>
    <n v="-53164.800000000003"/>
    <n v="0"/>
    <n v="0"/>
    <n v="25447.49"/>
    <n v="0"/>
    <n v="0"/>
    <n v="-27717.31"/>
  </r>
  <r>
    <s v="Credit"/>
    <s v="Credit"/>
    <m/>
    <x v="74"/>
    <s v="NESFIR 8 09/30/29"/>
    <n v="1250000"/>
    <s v="USD"/>
    <n v="102.053"/>
    <n v="0"/>
    <n v="25037.5"/>
    <n v="0"/>
    <n v="0"/>
    <n v="49041.1"/>
    <n v="0"/>
    <n v="0"/>
    <n v="74078.600000000006"/>
  </r>
  <r>
    <s v="Credit"/>
    <s v="Credit"/>
    <m/>
    <x v="75"/>
    <s v="NESFIR 8 09/30/29 V2"/>
    <n v="0"/>
    <s v="USD"/>
    <n v="0"/>
    <n v="0"/>
    <n v="-18387.5"/>
    <n v="0"/>
    <n v="0"/>
    <n v="-75277.78"/>
    <n v="0"/>
    <n v="0"/>
    <n v="-93665.279999999999"/>
  </r>
  <r>
    <s v="Credit"/>
    <s v="Credit"/>
    <m/>
    <x v="76"/>
    <s v="PEMEX 6.5 01/23/29"/>
    <n v="0"/>
    <s v="USD"/>
    <n v="0"/>
    <n v="182771.25"/>
    <n v="-186017.73"/>
    <n v="0"/>
    <n v="0"/>
    <n v="3256.5"/>
    <n v="0"/>
    <n v="0"/>
    <n v="10.0199999999895"/>
  </r>
  <r>
    <s v="Credit"/>
    <s v="Credit"/>
    <m/>
    <x v="77"/>
    <s v="PEMEX 6.625 06/15/35"/>
    <n v="4820000"/>
    <s v="USD"/>
    <n v="92.194999999999993"/>
    <n v="0"/>
    <n v="-124775.08"/>
    <n v="0"/>
    <n v="0"/>
    <n v="73698.7"/>
    <n v="0"/>
    <n v="0"/>
    <n v="-51076.38"/>
  </r>
  <r>
    <s v="Credit"/>
    <s v="Credit"/>
    <m/>
    <x v="78"/>
    <s v="PEMEX 6.84 01/23/30"/>
    <n v="2379000"/>
    <s v="USD"/>
    <n v="99.551000000000002"/>
    <n v="0"/>
    <n v="-50268.27"/>
    <n v="0"/>
    <n v="0"/>
    <n v="39324.870000000003"/>
    <n v="0"/>
    <n v="0"/>
    <n v="-10943.4"/>
  </r>
  <r>
    <s v="Credit"/>
    <s v="Credit"/>
    <m/>
    <x v="79"/>
    <s v="PEMEX 8.75 06/02/29"/>
    <n v="860000"/>
    <s v="USD"/>
    <n v="104.53700000000001"/>
    <n v="0"/>
    <n v="-23125.4"/>
    <n v="0"/>
    <n v="0"/>
    <n v="18185.419999999998"/>
    <n v="0"/>
    <n v="0"/>
    <n v="-4939.9799999999996"/>
  </r>
  <r>
    <s v="Credit"/>
    <s v="Credit"/>
    <m/>
    <x v="80"/>
    <s v="POLAND 2.875 01/15/31 EmTn"/>
    <n v="0"/>
    <s v="EUR"/>
    <n v="0"/>
    <n v="18617.29"/>
    <n v="0"/>
    <n v="38469.25"/>
    <n v="0"/>
    <n v="8386.32"/>
    <n v="0"/>
    <n v="0"/>
    <n v="65472.86"/>
  </r>
  <r>
    <s v="Credit"/>
    <s v="Credit"/>
    <m/>
    <x v="81"/>
    <s v="POLAND 3.625 06/15/36 EMTN"/>
    <n v="0"/>
    <s v="EUR"/>
    <n v="0"/>
    <n v="0"/>
    <n v="0"/>
    <n v="-10891.55"/>
    <n v="0"/>
    <n v="12608.6"/>
    <n v="0"/>
    <n v="0"/>
    <n v="1717.05"/>
  </r>
  <r>
    <s v="Credit"/>
    <s v="Credit"/>
    <m/>
    <x v="82"/>
    <s v="ROMANI 4.625 03/04/33 REGS"/>
    <n v="195000"/>
    <s v="EUR"/>
    <n v="93.79"/>
    <n v="0"/>
    <n v="-13775.83"/>
    <n v="0"/>
    <n v="-5533.79"/>
    <n v="682.97"/>
    <n v="0"/>
    <n v="0"/>
    <n v="-18626.650000000001"/>
  </r>
  <r>
    <s v="Credit"/>
    <s v="Credit"/>
    <m/>
    <x v="83"/>
    <s v="ROMANI 5.375 06/07/33 REGS"/>
    <n v="0"/>
    <s v="EUR"/>
    <n v="0"/>
    <n v="12369.13"/>
    <n v="-7919.91"/>
    <n v="6354.5"/>
    <n v="-1278.6500000000001"/>
    <n v="1948.23"/>
    <n v="0"/>
    <n v="0"/>
    <n v="11473.3"/>
  </r>
  <r>
    <s v="Credit"/>
    <s v="Credit"/>
    <m/>
    <x v="84"/>
    <s v="ROMANI 5.75 07/04/36 REGS"/>
    <n v="196000"/>
    <s v="USD"/>
    <n v="93.067999999999998"/>
    <n v="0"/>
    <n v="-13500.48"/>
    <n v="0"/>
    <n v="0"/>
    <n v="751.33"/>
    <n v="0"/>
    <n v="0"/>
    <n v="-12749.15"/>
  </r>
  <r>
    <s v="Credit"/>
    <s v="Credit"/>
    <m/>
    <x v="85"/>
    <s v="ROMANI 6 09/24/44 REGS"/>
    <n v="1170000"/>
    <s v="EUR"/>
    <n v="92.635999999999996"/>
    <n v="0"/>
    <n v="-103716.23"/>
    <n v="0"/>
    <n v="-33338.65"/>
    <n v="4935.25"/>
    <n v="0"/>
    <n v="0"/>
    <n v="-132119.63"/>
  </r>
  <r>
    <s v="Credit"/>
    <s v="Credit"/>
    <m/>
    <x v="86"/>
    <s v="ROMANI 6.125 10/07/37 REGS"/>
    <n v="195000"/>
    <s v="EUR"/>
    <n v="97.283000000000001"/>
    <n v="0"/>
    <n v="-7451.1"/>
    <n v="0"/>
    <n v="-4550.97"/>
    <n v="3174.92"/>
    <n v="0"/>
    <n v="0"/>
    <n v="-8827.15"/>
  </r>
  <r>
    <s v="Credit"/>
    <s v="Credit"/>
    <m/>
    <x v="87"/>
    <s v="ROMANI 6.25 09/10/34 REGS"/>
    <n v="390000"/>
    <s v="EUR"/>
    <n v="101.828"/>
    <n v="0"/>
    <n v="-15301.51"/>
    <n v="0"/>
    <n v="-9027.52"/>
    <n v="6104.35"/>
    <n v="0"/>
    <n v="0"/>
    <n v="-18224.68"/>
  </r>
  <r>
    <s v="Credit"/>
    <s v="Credit"/>
    <m/>
    <x v="88"/>
    <s v="ROMANI 6.5 10/07/45 REGS"/>
    <n v="195000"/>
    <s v="EUR"/>
    <n v="96.173000000000002"/>
    <n v="0"/>
    <n v="-7596.03"/>
    <n v="0"/>
    <n v="-4522.46"/>
    <n v="3369.3"/>
    <n v="0"/>
    <n v="0"/>
    <n v="-8749.19"/>
  </r>
  <r>
    <s v="Credit"/>
    <s v="Credit"/>
    <m/>
    <x v="89"/>
    <s v="ROMANI 6.75 07/11/39 REGS"/>
    <n v="2340000"/>
    <s v="EUR"/>
    <n v="100.358"/>
    <n v="0"/>
    <n v="-110390.91"/>
    <n v="0"/>
    <n v="-54079.69"/>
    <n v="40074.82"/>
    <n v="0"/>
    <n v="0"/>
    <n v="-124395.78"/>
  </r>
  <r>
    <s v="Credit"/>
    <s v="Credit"/>
    <m/>
    <x v="90"/>
    <s v="SEB V6.875 PERP"/>
    <n v="2000000"/>
    <s v="USD"/>
    <n v="100.833"/>
    <n v="0"/>
    <n v="-36080"/>
    <n v="0"/>
    <n v="0"/>
    <n v="33229.160000000003"/>
    <n v="0"/>
    <n v="0"/>
    <n v="-2850.84"/>
  </r>
  <r>
    <s v="Credit"/>
    <s v="Credit"/>
    <m/>
    <x v="91"/>
    <s v="SHBASS V4.375 PERP"/>
    <n v="0"/>
    <s v="USD"/>
    <n v="0"/>
    <n v="23808"/>
    <n v="-24032"/>
    <n v="0"/>
    <n v="0"/>
    <n v="3111.11"/>
    <n v="0"/>
    <n v="0"/>
    <n v="2887.11"/>
  </r>
  <r>
    <s v="Credit"/>
    <s v="Credit"/>
    <m/>
    <x v="92"/>
    <s v="SHBASS V4.75 PERP"/>
    <n v="800000"/>
    <s v="USD"/>
    <n v="92.67"/>
    <n v="0"/>
    <n v="-21600"/>
    <n v="0"/>
    <n v="0"/>
    <n v="9183.34"/>
    <n v="0"/>
    <n v="0"/>
    <n v="-12416.66"/>
  </r>
  <r>
    <s v="Credit"/>
    <s v="Credit"/>
    <m/>
    <x v="93"/>
    <s v="SOCGEN V8.125 PERP REGS"/>
    <n v="1170000"/>
    <s v="USD"/>
    <n v="102.86499999999999"/>
    <n v="0"/>
    <n v="-28337.4"/>
    <n v="0"/>
    <n v="0"/>
    <n v="16723.97"/>
    <n v="0"/>
    <n v="0"/>
    <n v="-11613.43"/>
  </r>
  <r>
    <s v="Credit"/>
    <s v="Credit"/>
    <m/>
    <x v="94"/>
    <s v="SWEDA V7.625 PERP"/>
    <n v="600000"/>
    <s v="USD"/>
    <n v="103.07"/>
    <n v="0"/>
    <n v="-11136"/>
    <n v="0"/>
    <n v="0"/>
    <n v="11056.24"/>
    <n v="0"/>
    <n v="0"/>
    <n v="-79.760000000000204"/>
  </r>
  <r>
    <s v="Credit"/>
    <s v="Credit"/>
    <m/>
    <x v="95"/>
    <s v="SWEDA V7.75 PERP"/>
    <n v="600000"/>
    <s v="USD"/>
    <n v="105.223"/>
    <n v="0"/>
    <n v="-16764"/>
    <n v="0"/>
    <n v="0"/>
    <n v="11237.49"/>
    <n v="0"/>
    <n v="0"/>
    <n v="-5526.51"/>
  </r>
  <r>
    <s v="Credit"/>
    <s v="Credit"/>
    <m/>
    <x v="96"/>
    <s v="US TREASURY NOTE BILL 4.25 15 NOV 34"/>
    <n v="6150000"/>
    <s v="USD"/>
    <n v="99.171875"/>
    <n v="0"/>
    <n v="-120117.18"/>
    <n v="0"/>
    <n v="0"/>
    <n v="62094.62"/>
    <n v="0"/>
    <n v="0"/>
    <n v="-58022.559999999998"/>
  </r>
  <r>
    <s v="Credit"/>
    <s v="Credit"/>
    <m/>
    <x v="97"/>
    <s v="TGSNO 8.5 01/15/30 144A"/>
    <n v="780000"/>
    <s v="USD"/>
    <n v="104.56699999999999"/>
    <n v="0"/>
    <n v="803.4"/>
    <n v="0"/>
    <n v="0"/>
    <n v="16022.5"/>
    <n v="0"/>
    <n v="0"/>
    <n v="16825.900000000001"/>
  </r>
  <r>
    <s v="Credit"/>
    <s v="Credit"/>
    <m/>
    <x v="98"/>
    <s v="TGSNO 8.5 01/15/30 REGS"/>
    <n v="390000"/>
    <s v="USD"/>
    <n v="104.65600000000001"/>
    <n v="0"/>
    <n v="1014"/>
    <n v="0"/>
    <n v="0"/>
    <n v="8011.25"/>
    <n v="0"/>
    <n v="0"/>
    <n v="9025.25"/>
  </r>
  <r>
    <s v="Credit"/>
    <s v="Credit"/>
    <m/>
    <x v="99"/>
    <s v="TVLRO V7.125 PERP"/>
    <n v="1560000"/>
    <s v="EUR"/>
    <n v="100.068"/>
    <n v="0"/>
    <n v="-14976.79"/>
    <n v="0"/>
    <n v="-37034.629999999997"/>
    <n v="30159.01"/>
    <n v="0"/>
    <n v="0"/>
    <n v="-21852.41"/>
  </r>
  <r>
    <s v="Credit"/>
    <s v="Credit"/>
    <m/>
    <x v="100"/>
    <s v="TYH6"/>
    <n v="0"/>
    <s v="USD"/>
    <n v="0"/>
    <n v="10439.83"/>
    <n v="88453.13"/>
    <n v="0"/>
    <n v="0"/>
    <n v="0"/>
    <n v="0"/>
    <n v="-242.22000000000099"/>
    <n v="98650.74"/>
  </r>
  <r>
    <s v="Credit"/>
    <s v="Credit"/>
    <m/>
    <x v="101"/>
    <s v="TYM6"/>
    <n v="111"/>
    <s v="USD"/>
    <n v="110.15625"/>
    <n v="0"/>
    <n v="-346691.79"/>
    <n v="0"/>
    <n v="0"/>
    <n v="0"/>
    <n v="0"/>
    <n v="-224.219999999972"/>
    <n v="-346916.01"/>
  </r>
  <r>
    <s v="Credit"/>
    <s v="Credit"/>
    <m/>
    <x v="102"/>
    <s v="U.S. Dollars"/>
    <n v="19472189.030000001"/>
    <s v="USD"/>
    <n v="1"/>
    <n v="0"/>
    <n v="0"/>
    <n v="0.01"/>
    <n v="0"/>
    <n v="0"/>
    <n v="0"/>
    <n v="-737.300000000002"/>
    <n v="-737.29000000000201"/>
  </r>
  <r>
    <s v="Credit"/>
    <s v="Credit"/>
    <m/>
    <x v="103"/>
    <s v="VKFP 7.5 04/15/32 REGS"/>
    <n v="0"/>
    <s v="USD"/>
    <n v="0"/>
    <n v="36737.300000000003"/>
    <n v="-41643.94"/>
    <n v="0"/>
    <n v="0"/>
    <n v="11455"/>
    <n v="0"/>
    <n v="0"/>
    <n v="6548.36"/>
  </r>
  <r>
    <s v="Credit"/>
    <s v="Credit"/>
    <m/>
    <x v="104"/>
    <s v="YPANBR 8.947 07/31/42 REGS"/>
    <n v="1134367.7042"/>
    <s v="USD"/>
    <n v="108.35899999999999"/>
    <n v="-634.01"/>
    <n v="-9332.7800000000007"/>
    <n v="-0.01"/>
    <n v="0"/>
    <n v="24543.52"/>
    <n v="194.7"/>
    <n v="0"/>
    <n v="14771.42"/>
  </r>
  <r>
    <s v="Credit"/>
    <s v="Credit"/>
    <m/>
    <x v="105"/>
    <s v="YPMQBR 8.498 01/31/45 REGS"/>
    <n v="1154439"/>
    <s v="USD"/>
    <n v="105.477"/>
    <n v="-530.65"/>
    <n v="3024.57"/>
    <n v="0"/>
    <n v="0"/>
    <n v="23815.040000000001"/>
    <n v="0"/>
    <n v="0"/>
    <n v="26308.95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AC283-4C18-4404-9CD4-947CF57FF7B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0" firstHeaderRow="1" firstDataRow="1" firstDataCol="1"/>
  <pivotFields count="16">
    <pivotField showAll="0"/>
    <pivotField showAll="0"/>
    <pivotField showAll="0"/>
    <pivotField axis="axisRow" showAll="0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5"/>
        <item x="36"/>
        <item x="37"/>
        <item x="33"/>
        <item x="34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0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 t="grand">
      <x/>
    </i>
  </rowItems>
  <colItems count="1">
    <i/>
  </colItems>
  <dataFields count="1">
    <dataField name="Sum of Total" fld="15" baseField="0" baseItem="0" numFmtId="4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6920-6947-488E-BE8D-363872D782B4}">
  <dimension ref="A3:B110"/>
  <sheetViews>
    <sheetView tabSelected="1" topLeftCell="A79" workbookViewId="0">
      <selection activeCell="F83" sqref="F83"/>
    </sheetView>
  </sheetViews>
  <sheetFormatPr defaultRowHeight="15" x14ac:dyDescent="0.25"/>
  <cols>
    <col min="1" max="1" width="35.7109375" bestFit="1" customWidth="1"/>
    <col min="2" max="2" width="14" bestFit="1" customWidth="1"/>
  </cols>
  <sheetData>
    <row r="3" spans="1:2" x14ac:dyDescent="0.25">
      <c r="A3" s="1" t="s">
        <v>25</v>
      </c>
      <c r="B3" t="s">
        <v>27</v>
      </c>
    </row>
    <row r="4" spans="1:2" x14ac:dyDescent="0.25">
      <c r="A4" s="2" t="s">
        <v>33</v>
      </c>
      <c r="B4" s="3">
        <v>-37544.44</v>
      </c>
    </row>
    <row r="5" spans="1:2" x14ac:dyDescent="0.25">
      <c r="A5" s="2" t="s">
        <v>34</v>
      </c>
      <c r="B5" s="3">
        <v>-91711.11</v>
      </c>
    </row>
    <row r="6" spans="1:2" x14ac:dyDescent="0.25">
      <c r="A6" s="2" t="s">
        <v>35</v>
      </c>
      <c r="B6" s="3">
        <v>-251556.67</v>
      </c>
    </row>
    <row r="7" spans="1:2" x14ac:dyDescent="0.25">
      <c r="A7" s="2" t="s">
        <v>36</v>
      </c>
      <c r="B7" s="3">
        <v>-34325.100000000006</v>
      </c>
    </row>
    <row r="8" spans="1:2" x14ac:dyDescent="0.25">
      <c r="A8" s="2" t="s">
        <v>37</v>
      </c>
      <c r="B8" s="3">
        <v>34050</v>
      </c>
    </row>
    <row r="9" spans="1:2" x14ac:dyDescent="0.25">
      <c r="A9" s="2" t="s">
        <v>38</v>
      </c>
      <c r="B9" s="3">
        <v>101770</v>
      </c>
    </row>
    <row r="10" spans="1:2" x14ac:dyDescent="0.25">
      <c r="A10" s="2" t="s">
        <v>39</v>
      </c>
      <c r="B10" s="3">
        <v>-109167.58</v>
      </c>
    </row>
    <row r="11" spans="1:2" x14ac:dyDescent="0.25">
      <c r="A11" s="2" t="s">
        <v>40</v>
      </c>
      <c r="B11" s="3">
        <v>-271746.58999999997</v>
      </c>
    </row>
    <row r="12" spans="1:2" x14ac:dyDescent="0.25">
      <c r="A12" s="2" t="s">
        <v>41</v>
      </c>
      <c r="B12" s="3">
        <v>-70057.36</v>
      </c>
    </row>
    <row r="13" spans="1:2" x14ac:dyDescent="0.25">
      <c r="A13" s="2" t="s">
        <v>42</v>
      </c>
      <c r="B13" s="3">
        <v>-61954.990000000005</v>
      </c>
    </row>
    <row r="14" spans="1:2" x14ac:dyDescent="0.25">
      <c r="A14" s="2" t="s">
        <v>43</v>
      </c>
      <c r="B14" s="3">
        <v>-138475</v>
      </c>
    </row>
    <row r="15" spans="1:2" x14ac:dyDescent="0.25">
      <c r="A15" s="2" t="s">
        <v>44</v>
      </c>
      <c r="B15" s="3">
        <v>-406806.13</v>
      </c>
    </row>
    <row r="16" spans="1:2" x14ac:dyDescent="0.25">
      <c r="A16" s="2" t="s">
        <v>45</v>
      </c>
      <c r="B16" s="3">
        <v>38159.15</v>
      </c>
    </row>
    <row r="17" spans="1:2" x14ac:dyDescent="0.25">
      <c r="A17" s="2" t="s">
        <v>46</v>
      </c>
      <c r="B17" s="3">
        <v>21696.66</v>
      </c>
    </row>
    <row r="18" spans="1:2" x14ac:dyDescent="0.25">
      <c r="A18" s="2" t="s">
        <v>47</v>
      </c>
      <c r="B18" s="3">
        <v>-1595.840000000002</v>
      </c>
    </row>
    <row r="19" spans="1:2" x14ac:dyDescent="0.25">
      <c r="A19" s="2" t="s">
        <v>48</v>
      </c>
      <c r="B19" s="3">
        <v>-6593.41</v>
      </c>
    </row>
    <row r="20" spans="1:2" x14ac:dyDescent="0.25">
      <c r="A20" s="2" t="s">
        <v>18</v>
      </c>
      <c r="B20" s="3">
        <v>-2698.76</v>
      </c>
    </row>
    <row r="21" spans="1:2" x14ac:dyDescent="0.25">
      <c r="A21" s="2" t="s">
        <v>19</v>
      </c>
      <c r="B21" s="3">
        <v>-65607.48</v>
      </c>
    </row>
    <row r="22" spans="1:2" x14ac:dyDescent="0.25">
      <c r="A22" s="2" t="s">
        <v>49</v>
      </c>
      <c r="B22" s="3">
        <v>-116265.18</v>
      </c>
    </row>
    <row r="23" spans="1:2" x14ac:dyDescent="0.25">
      <c r="A23" s="2" t="s">
        <v>50</v>
      </c>
      <c r="B23" s="3">
        <v>-77712.490000000005</v>
      </c>
    </row>
    <row r="24" spans="1:2" x14ac:dyDescent="0.25">
      <c r="A24" s="2" t="s">
        <v>51</v>
      </c>
      <c r="B24" s="3">
        <v>-82140</v>
      </c>
    </row>
    <row r="25" spans="1:2" x14ac:dyDescent="0.25">
      <c r="A25" s="2" t="s">
        <v>52</v>
      </c>
      <c r="B25" s="3">
        <v>-34649.9</v>
      </c>
    </row>
    <row r="26" spans="1:2" x14ac:dyDescent="0.25">
      <c r="A26" s="2" t="s">
        <v>53</v>
      </c>
      <c r="B26" s="3">
        <v>-129060.01000000001</v>
      </c>
    </row>
    <row r="27" spans="1:2" x14ac:dyDescent="0.25">
      <c r="A27" s="2" t="s">
        <v>54</v>
      </c>
      <c r="B27" s="3">
        <v>2166.5300000000088</v>
      </c>
    </row>
    <row r="28" spans="1:2" x14ac:dyDescent="0.25">
      <c r="A28" s="2" t="s">
        <v>55</v>
      </c>
      <c r="B28" s="3">
        <v>-26602.43</v>
      </c>
    </row>
    <row r="29" spans="1:2" x14ac:dyDescent="0.25">
      <c r="A29" s="2" t="s">
        <v>56</v>
      </c>
      <c r="B29" s="3">
        <v>28906.03</v>
      </c>
    </row>
    <row r="30" spans="1:2" x14ac:dyDescent="0.25">
      <c r="A30" s="2" t="s">
        <v>57</v>
      </c>
      <c r="B30" s="3">
        <v>-183547.88</v>
      </c>
    </row>
    <row r="31" spans="1:2" x14ac:dyDescent="0.25">
      <c r="A31" s="2" t="s">
        <v>20</v>
      </c>
      <c r="B31" s="3">
        <v>182364.36</v>
      </c>
    </row>
    <row r="32" spans="1:2" x14ac:dyDescent="0.25">
      <c r="A32" s="2" t="s">
        <v>31</v>
      </c>
      <c r="B32" s="3">
        <v>18880</v>
      </c>
    </row>
    <row r="33" spans="1:2" x14ac:dyDescent="0.25">
      <c r="A33" s="2" t="s">
        <v>58</v>
      </c>
      <c r="B33" s="3">
        <v>0</v>
      </c>
    </row>
    <row r="34" spans="1:2" x14ac:dyDescent="0.25">
      <c r="A34" s="2" t="s">
        <v>59</v>
      </c>
      <c r="B34" s="3">
        <v>91055.56</v>
      </c>
    </row>
    <row r="35" spans="1:2" x14ac:dyDescent="0.25">
      <c r="A35" s="2" t="s">
        <v>60</v>
      </c>
      <c r="B35" s="3">
        <v>-71294.76999999999</v>
      </c>
    </row>
    <row r="36" spans="1:2" x14ac:dyDescent="0.25">
      <c r="A36" s="2" t="s">
        <v>61</v>
      </c>
      <c r="B36" s="3">
        <v>53844.7</v>
      </c>
    </row>
    <row r="37" spans="1:2" x14ac:dyDescent="0.25">
      <c r="A37" s="2" t="s">
        <v>64</v>
      </c>
      <c r="B37" s="3">
        <v>189726.95</v>
      </c>
    </row>
    <row r="38" spans="1:2" x14ac:dyDescent="0.25">
      <c r="A38" s="2" t="s">
        <v>65</v>
      </c>
      <c r="B38" s="3">
        <v>-107019.70000000001</v>
      </c>
    </row>
    <row r="39" spans="1:2" x14ac:dyDescent="0.25">
      <c r="A39" s="2" t="s">
        <v>66</v>
      </c>
      <c r="B39" s="3">
        <v>-215893.38</v>
      </c>
    </row>
    <row r="40" spans="1:2" x14ac:dyDescent="0.25">
      <c r="A40" s="2" t="s">
        <v>62</v>
      </c>
      <c r="B40" s="3">
        <v>1017916.22</v>
      </c>
    </row>
    <row r="41" spans="1:2" x14ac:dyDescent="0.25">
      <c r="A41" s="2" t="s">
        <v>63</v>
      </c>
      <c r="B41" s="3">
        <v>-81538.84</v>
      </c>
    </row>
    <row r="42" spans="1:2" x14ac:dyDescent="0.25">
      <c r="A42" s="2" t="s">
        <v>67</v>
      </c>
      <c r="B42" s="3">
        <v>-15013.85</v>
      </c>
    </row>
    <row r="43" spans="1:2" x14ac:dyDescent="0.25">
      <c r="A43" s="2" t="s">
        <v>68</v>
      </c>
      <c r="B43" s="3">
        <v>-40035.230000000003</v>
      </c>
    </row>
    <row r="44" spans="1:2" x14ac:dyDescent="0.25">
      <c r="A44" s="2" t="s">
        <v>69</v>
      </c>
      <c r="B44" s="3">
        <v>-33369.58</v>
      </c>
    </row>
    <row r="45" spans="1:2" x14ac:dyDescent="0.25">
      <c r="A45" s="2" t="s">
        <v>70</v>
      </c>
      <c r="B45" s="3">
        <v>-37014.29</v>
      </c>
    </row>
    <row r="46" spans="1:2" x14ac:dyDescent="0.25">
      <c r="A46" s="2" t="s">
        <v>71</v>
      </c>
      <c r="B46" s="3">
        <v>-11687.45</v>
      </c>
    </row>
    <row r="47" spans="1:2" x14ac:dyDescent="0.25">
      <c r="A47" s="2" t="s">
        <v>72</v>
      </c>
      <c r="B47" s="3">
        <v>2588.329999999999</v>
      </c>
    </row>
    <row r="48" spans="1:2" x14ac:dyDescent="0.25">
      <c r="A48" s="2" t="s">
        <v>73</v>
      </c>
      <c r="B48" s="3">
        <v>-242.95999999999782</v>
      </c>
    </row>
    <row r="49" spans="1:2" x14ac:dyDescent="0.25">
      <c r="A49" s="2" t="s">
        <v>74</v>
      </c>
      <c r="B49" s="3">
        <v>-21912.989999999998</v>
      </c>
    </row>
    <row r="50" spans="1:2" x14ac:dyDescent="0.25">
      <c r="A50" s="2" t="s">
        <v>29</v>
      </c>
      <c r="B50" s="3">
        <v>20033.330000000002</v>
      </c>
    </row>
    <row r="51" spans="1:2" x14ac:dyDescent="0.25">
      <c r="A51" s="2" t="s">
        <v>75</v>
      </c>
      <c r="B51" s="3">
        <v>-55785.41</v>
      </c>
    </row>
    <row r="52" spans="1:2" x14ac:dyDescent="0.25">
      <c r="A52" s="2" t="s">
        <v>76</v>
      </c>
      <c r="B52" s="3">
        <v>54980.75</v>
      </c>
    </row>
    <row r="53" spans="1:2" x14ac:dyDescent="0.25">
      <c r="A53" s="2" t="s">
        <v>77</v>
      </c>
      <c r="B53" s="3">
        <v>217.9200000000007</v>
      </c>
    </row>
    <row r="54" spans="1:2" x14ac:dyDescent="0.25">
      <c r="A54" s="2" t="s">
        <v>78</v>
      </c>
      <c r="B54" s="3">
        <v>-1302.079999999999</v>
      </c>
    </row>
    <row r="55" spans="1:2" x14ac:dyDescent="0.25">
      <c r="A55" s="2" t="s">
        <v>79</v>
      </c>
      <c r="B55" s="3">
        <v>538.33000000000106</v>
      </c>
    </row>
    <row r="56" spans="1:2" x14ac:dyDescent="0.25">
      <c r="A56" s="2" t="s">
        <v>80</v>
      </c>
      <c r="B56" s="3">
        <v>13497.920000000011</v>
      </c>
    </row>
    <row r="57" spans="1:2" x14ac:dyDescent="0.25">
      <c r="A57" s="2" t="s">
        <v>81</v>
      </c>
      <c r="B57" s="3">
        <v>5157.92</v>
      </c>
    </row>
    <row r="58" spans="1:2" x14ac:dyDescent="0.25">
      <c r="A58" s="2" t="s">
        <v>82</v>
      </c>
      <c r="B58" s="3">
        <v>-68531.08</v>
      </c>
    </row>
    <row r="59" spans="1:2" x14ac:dyDescent="0.25">
      <c r="A59" s="2" t="s">
        <v>83</v>
      </c>
      <c r="B59" s="3">
        <v>103512.48999999999</v>
      </c>
    </row>
    <row r="60" spans="1:2" x14ac:dyDescent="0.25">
      <c r="A60" s="2" t="s">
        <v>84</v>
      </c>
      <c r="B60" s="3">
        <v>-80991.450000000012</v>
      </c>
    </row>
    <row r="61" spans="1:2" x14ac:dyDescent="0.25">
      <c r="A61" s="2" t="s">
        <v>85</v>
      </c>
      <c r="B61" s="3">
        <v>-47730.31</v>
      </c>
    </row>
    <row r="62" spans="1:2" x14ac:dyDescent="0.25">
      <c r="A62" s="2" t="s">
        <v>17</v>
      </c>
      <c r="B62" s="3">
        <v>1182355.3</v>
      </c>
    </row>
    <row r="63" spans="1:2" x14ac:dyDescent="0.25">
      <c r="A63" s="2" t="s">
        <v>86</v>
      </c>
      <c r="B63" s="3">
        <v>-30697.85</v>
      </c>
    </row>
    <row r="64" spans="1:2" x14ac:dyDescent="0.25">
      <c r="A64" s="2" t="s">
        <v>87</v>
      </c>
      <c r="B64" s="3">
        <v>-51603.74</v>
      </c>
    </row>
    <row r="65" spans="1:2" x14ac:dyDescent="0.25">
      <c r="A65" s="2" t="s">
        <v>88</v>
      </c>
      <c r="B65" s="3">
        <v>-346989.98</v>
      </c>
    </row>
    <row r="66" spans="1:2" x14ac:dyDescent="0.25">
      <c r="A66" s="2" t="s">
        <v>89</v>
      </c>
      <c r="B66" s="3">
        <v>-26623</v>
      </c>
    </row>
    <row r="67" spans="1:2" x14ac:dyDescent="0.25">
      <c r="A67" s="2" t="s">
        <v>90</v>
      </c>
      <c r="B67" s="3">
        <v>4217.7</v>
      </c>
    </row>
    <row r="68" spans="1:2" x14ac:dyDescent="0.25">
      <c r="A68" s="2" t="s">
        <v>91</v>
      </c>
      <c r="B68" s="3">
        <v>-119290</v>
      </c>
    </row>
    <row r="69" spans="1:2" x14ac:dyDescent="0.25">
      <c r="A69" s="2" t="s">
        <v>92</v>
      </c>
      <c r="B69" s="3">
        <v>-79386.11</v>
      </c>
    </row>
    <row r="70" spans="1:2" x14ac:dyDescent="0.25">
      <c r="A70" s="2" t="s">
        <v>93</v>
      </c>
      <c r="B70" s="3">
        <v>-73524.3</v>
      </c>
    </row>
    <row r="71" spans="1:2" x14ac:dyDescent="0.25">
      <c r="A71" s="2" t="s">
        <v>94</v>
      </c>
      <c r="B71" s="3">
        <v>-8105.8200000000006</v>
      </c>
    </row>
    <row r="72" spans="1:2" x14ac:dyDescent="0.25">
      <c r="A72" s="2" t="s">
        <v>95</v>
      </c>
      <c r="B72" s="3">
        <v>-30941.45</v>
      </c>
    </row>
    <row r="73" spans="1:2" x14ac:dyDescent="0.25">
      <c r="A73" s="2" t="s">
        <v>96</v>
      </c>
      <c r="B73" s="3">
        <v>-24877.52</v>
      </c>
    </row>
    <row r="74" spans="1:2" x14ac:dyDescent="0.25">
      <c r="A74" s="2" t="s">
        <v>97</v>
      </c>
      <c r="B74" s="3">
        <v>-136406.26</v>
      </c>
    </row>
    <row r="75" spans="1:2" x14ac:dyDescent="0.25">
      <c r="A75" s="2" t="s">
        <v>98</v>
      </c>
      <c r="B75" s="3">
        <v>-10650.49</v>
      </c>
    </row>
    <row r="76" spans="1:2" x14ac:dyDescent="0.25">
      <c r="A76" s="2" t="s">
        <v>99</v>
      </c>
      <c r="B76" s="3">
        <v>9458.91</v>
      </c>
    </row>
    <row r="77" spans="1:2" x14ac:dyDescent="0.25">
      <c r="A77" s="2" t="s">
        <v>100</v>
      </c>
      <c r="B77" s="3">
        <v>-79953.77</v>
      </c>
    </row>
    <row r="78" spans="1:2" x14ac:dyDescent="0.25">
      <c r="A78" s="2" t="s">
        <v>101</v>
      </c>
      <c r="B78" s="3">
        <v>177788.63</v>
      </c>
    </row>
    <row r="79" spans="1:2" x14ac:dyDescent="0.25">
      <c r="A79" s="2" t="s">
        <v>102</v>
      </c>
      <c r="B79" s="3">
        <v>-224796.67</v>
      </c>
    </row>
    <row r="80" spans="1:2" x14ac:dyDescent="0.25">
      <c r="A80" s="2" t="s">
        <v>103</v>
      </c>
      <c r="B80" s="3">
        <v>26.860000000000596</v>
      </c>
    </row>
    <row r="81" spans="1:2" x14ac:dyDescent="0.25">
      <c r="A81" s="2" t="s">
        <v>104</v>
      </c>
      <c r="B81" s="3">
        <v>-130078.18</v>
      </c>
    </row>
    <row r="82" spans="1:2" x14ac:dyDescent="0.25">
      <c r="A82" s="2" t="s">
        <v>105</v>
      </c>
      <c r="B82" s="3">
        <v>-26735.199999999997</v>
      </c>
    </row>
    <row r="83" spans="1:2" x14ac:dyDescent="0.25">
      <c r="A83" s="2" t="s">
        <v>106</v>
      </c>
      <c r="B83" s="3">
        <v>-11488.34</v>
      </c>
    </row>
    <row r="84" spans="1:2" x14ac:dyDescent="0.25">
      <c r="A84" s="2" t="s">
        <v>107</v>
      </c>
      <c r="B84" s="3">
        <v>167879.13</v>
      </c>
    </row>
    <row r="85" spans="1:2" x14ac:dyDescent="0.25">
      <c r="A85" s="2" t="s">
        <v>108</v>
      </c>
      <c r="B85" s="3">
        <v>4402.6899999999996</v>
      </c>
    </row>
    <row r="86" spans="1:2" x14ac:dyDescent="0.25">
      <c r="A86" s="2" t="s">
        <v>109</v>
      </c>
      <c r="B86" s="3">
        <v>-47760.630000000005</v>
      </c>
    </row>
    <row r="87" spans="1:2" x14ac:dyDescent="0.25">
      <c r="A87" s="2" t="s">
        <v>110</v>
      </c>
      <c r="B87" s="3">
        <v>29418.71</v>
      </c>
    </row>
    <row r="88" spans="1:2" x14ac:dyDescent="0.25">
      <c r="A88" s="2" t="s">
        <v>111</v>
      </c>
      <c r="B88" s="3">
        <v>-32523.339999999997</v>
      </c>
    </row>
    <row r="89" spans="1:2" x14ac:dyDescent="0.25">
      <c r="A89" s="2" t="s">
        <v>112</v>
      </c>
      <c r="B89" s="3">
        <v>-338768.27</v>
      </c>
    </row>
    <row r="90" spans="1:2" x14ac:dyDescent="0.25">
      <c r="A90" s="2" t="s">
        <v>113</v>
      </c>
      <c r="B90" s="3">
        <v>-22633.73</v>
      </c>
    </row>
    <row r="91" spans="1:2" x14ac:dyDescent="0.25">
      <c r="A91" s="2" t="s">
        <v>114</v>
      </c>
      <c r="B91" s="3">
        <v>-46729.95</v>
      </c>
    </row>
    <row r="92" spans="1:2" x14ac:dyDescent="0.25">
      <c r="A92" s="2" t="s">
        <v>115</v>
      </c>
      <c r="B92" s="3">
        <v>-22433.84</v>
      </c>
    </row>
    <row r="93" spans="1:2" x14ac:dyDescent="0.25">
      <c r="A93" s="2" t="s">
        <v>116</v>
      </c>
      <c r="B93" s="3">
        <v>-318963.55</v>
      </c>
    </row>
    <row r="94" spans="1:2" x14ac:dyDescent="0.25">
      <c r="A94" s="2" t="s">
        <v>22</v>
      </c>
      <c r="B94" s="3">
        <v>-7127.07</v>
      </c>
    </row>
    <row r="95" spans="1:2" x14ac:dyDescent="0.25">
      <c r="A95" s="2" t="s">
        <v>30</v>
      </c>
      <c r="B95" s="3">
        <v>7217.7800000000007</v>
      </c>
    </row>
    <row r="96" spans="1:2" x14ac:dyDescent="0.25">
      <c r="A96" s="2" t="s">
        <v>117</v>
      </c>
      <c r="B96" s="3">
        <v>-31041.66</v>
      </c>
    </row>
    <row r="97" spans="1:2" x14ac:dyDescent="0.25">
      <c r="A97" s="2" t="s">
        <v>118</v>
      </c>
      <c r="B97" s="3">
        <v>-29778.04</v>
      </c>
    </row>
    <row r="98" spans="1:2" x14ac:dyDescent="0.25">
      <c r="A98" s="2" t="s">
        <v>23</v>
      </c>
      <c r="B98" s="3">
        <v>-186.10000000000019</v>
      </c>
    </row>
    <row r="99" spans="1:2" x14ac:dyDescent="0.25">
      <c r="A99" s="2" t="s">
        <v>119</v>
      </c>
      <c r="B99" s="3">
        <v>-14737.35</v>
      </c>
    </row>
    <row r="100" spans="1:2" x14ac:dyDescent="0.25">
      <c r="A100" s="2" t="s">
        <v>120</v>
      </c>
      <c r="B100" s="3">
        <v>-141518.44</v>
      </c>
    </row>
    <row r="101" spans="1:2" x14ac:dyDescent="0.25">
      <c r="A101" s="2" t="s">
        <v>122</v>
      </c>
      <c r="B101" s="3">
        <v>43143.34</v>
      </c>
    </row>
    <row r="102" spans="1:2" x14ac:dyDescent="0.25">
      <c r="A102" s="2" t="s">
        <v>123</v>
      </c>
      <c r="B102" s="3">
        <v>23141.67</v>
      </c>
    </row>
    <row r="103" spans="1:2" x14ac:dyDescent="0.25">
      <c r="A103" s="2" t="s">
        <v>124</v>
      </c>
      <c r="B103" s="3">
        <v>-56031.770000000004</v>
      </c>
    </row>
    <row r="104" spans="1:2" x14ac:dyDescent="0.25">
      <c r="A104" s="2" t="s">
        <v>125</v>
      </c>
      <c r="B104" s="3">
        <v>252431.75</v>
      </c>
    </row>
    <row r="105" spans="1:2" x14ac:dyDescent="0.25">
      <c r="A105" s="2" t="s">
        <v>28</v>
      </c>
      <c r="B105" s="3">
        <v>-887604.93</v>
      </c>
    </row>
    <row r="106" spans="1:2" x14ac:dyDescent="0.25">
      <c r="A106" s="2" t="s">
        <v>16</v>
      </c>
      <c r="B106" s="3">
        <v>-1849.6800000000021</v>
      </c>
    </row>
    <row r="107" spans="1:2" x14ac:dyDescent="0.25">
      <c r="A107" s="2" t="s">
        <v>126</v>
      </c>
      <c r="B107" s="3">
        <v>15444.59</v>
      </c>
    </row>
    <row r="108" spans="1:2" x14ac:dyDescent="0.25">
      <c r="A108" s="2" t="s">
        <v>127</v>
      </c>
      <c r="B108" s="3">
        <v>37632.75</v>
      </c>
    </row>
    <row r="109" spans="1:2" x14ac:dyDescent="0.25">
      <c r="A109" s="2" t="s">
        <v>128</v>
      </c>
      <c r="B109" s="3">
        <v>67458.880000000005</v>
      </c>
    </row>
    <row r="110" spans="1:2" x14ac:dyDescent="0.25">
      <c r="A110" s="2" t="s">
        <v>26</v>
      </c>
      <c r="B110" s="3">
        <v>-2497936.9100000006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E366-AE4B-4ED1-BEA6-38D3DB7B4954}">
  <dimension ref="A1:P212"/>
  <sheetViews>
    <sheetView workbookViewId="0">
      <selection sqref="A1:P212"/>
    </sheetView>
  </sheetViews>
  <sheetFormatPr defaultRowHeight="15" x14ac:dyDescent="0.25"/>
  <cols>
    <col min="13" max="13" width="10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32</v>
      </c>
      <c r="B2" t="s">
        <v>32</v>
      </c>
      <c r="D2" t="s">
        <v>33</v>
      </c>
      <c r="E2" t="s">
        <v>33</v>
      </c>
      <c r="F2">
        <v>1220000</v>
      </c>
      <c r="G2" t="s">
        <v>16</v>
      </c>
      <c r="H2">
        <v>96.054000000000002</v>
      </c>
      <c r="I2">
        <v>0</v>
      </c>
      <c r="J2">
        <v>-32391</v>
      </c>
      <c r="K2">
        <v>0</v>
      </c>
      <c r="L2">
        <v>0</v>
      </c>
      <c r="M2">
        <v>9488.89</v>
      </c>
      <c r="N2">
        <v>0</v>
      </c>
      <c r="O2">
        <v>0</v>
      </c>
      <c r="P2">
        <v>-22902.11</v>
      </c>
    </row>
    <row r="3" spans="1:16" x14ac:dyDescent="0.25">
      <c r="A3" t="s">
        <v>32</v>
      </c>
      <c r="B3" t="s">
        <v>32</v>
      </c>
      <c r="D3" t="s">
        <v>34</v>
      </c>
      <c r="E3" t="s">
        <v>34</v>
      </c>
      <c r="F3">
        <v>1525000</v>
      </c>
      <c r="G3" t="s">
        <v>16</v>
      </c>
      <c r="H3">
        <v>91.441000000000003</v>
      </c>
      <c r="I3">
        <v>0</v>
      </c>
      <c r="J3">
        <v>-61594.75</v>
      </c>
      <c r="K3">
        <v>0</v>
      </c>
      <c r="L3">
        <v>0</v>
      </c>
      <c r="M3">
        <v>5650.97</v>
      </c>
      <c r="N3">
        <v>0</v>
      </c>
      <c r="O3">
        <v>0</v>
      </c>
      <c r="P3">
        <v>-55943.78</v>
      </c>
    </row>
    <row r="4" spans="1:16" x14ac:dyDescent="0.25">
      <c r="A4" t="s">
        <v>32</v>
      </c>
      <c r="B4" t="s">
        <v>32</v>
      </c>
      <c r="D4" t="s">
        <v>35</v>
      </c>
      <c r="E4" t="s">
        <v>35</v>
      </c>
      <c r="F4">
        <v>3660000</v>
      </c>
      <c r="G4" t="s">
        <v>16</v>
      </c>
      <c r="H4">
        <v>94.230999999999995</v>
      </c>
      <c r="I4">
        <v>0</v>
      </c>
      <c r="J4">
        <v>-171342.9</v>
      </c>
      <c r="K4">
        <v>0</v>
      </c>
      <c r="L4">
        <v>0</v>
      </c>
      <c r="M4">
        <v>17893.330000000002</v>
      </c>
      <c r="N4">
        <v>0</v>
      </c>
      <c r="O4">
        <v>0</v>
      </c>
      <c r="P4">
        <v>-153449.57</v>
      </c>
    </row>
    <row r="5" spans="1:16" x14ac:dyDescent="0.25">
      <c r="A5" t="s">
        <v>32</v>
      </c>
      <c r="B5" t="s">
        <v>32</v>
      </c>
      <c r="D5" t="s">
        <v>36</v>
      </c>
      <c r="E5" t="s">
        <v>36</v>
      </c>
      <c r="F5">
        <v>900000</v>
      </c>
      <c r="G5" t="s">
        <v>17</v>
      </c>
      <c r="H5">
        <v>102.889</v>
      </c>
      <c r="I5">
        <v>0</v>
      </c>
      <c r="J5">
        <v>-15857.59</v>
      </c>
      <c r="K5">
        <v>0</v>
      </c>
      <c r="L5">
        <v>-21810.94</v>
      </c>
      <c r="M5">
        <v>17073.47</v>
      </c>
      <c r="N5">
        <v>0</v>
      </c>
      <c r="O5">
        <v>0</v>
      </c>
      <c r="P5">
        <v>-20595.060000000001</v>
      </c>
    </row>
    <row r="6" spans="1:16" x14ac:dyDescent="0.25">
      <c r="A6" t="s">
        <v>32</v>
      </c>
      <c r="B6" t="s">
        <v>32</v>
      </c>
      <c r="D6" t="s">
        <v>37</v>
      </c>
      <c r="E6" t="s">
        <v>37</v>
      </c>
      <c r="F6">
        <v>732000</v>
      </c>
      <c r="G6" t="s">
        <v>16</v>
      </c>
      <c r="H6">
        <v>101.2</v>
      </c>
      <c r="I6">
        <v>915</v>
      </c>
      <c r="J6">
        <v>8784</v>
      </c>
      <c r="K6">
        <v>0</v>
      </c>
      <c r="L6">
        <v>0</v>
      </c>
      <c r="M6">
        <v>11071.5</v>
      </c>
      <c r="N6">
        <v>0</v>
      </c>
      <c r="O6">
        <v>0</v>
      </c>
      <c r="P6">
        <v>20770.5</v>
      </c>
    </row>
    <row r="7" spans="1:16" x14ac:dyDescent="0.25">
      <c r="A7" t="s">
        <v>32</v>
      </c>
      <c r="B7" t="s">
        <v>32</v>
      </c>
      <c r="D7" t="s">
        <v>38</v>
      </c>
      <c r="E7" t="s">
        <v>38</v>
      </c>
      <c r="F7">
        <v>2440000</v>
      </c>
      <c r="G7" t="s">
        <v>16</v>
      </c>
      <c r="H7">
        <v>100.96299999999999</v>
      </c>
      <c r="I7">
        <v>0</v>
      </c>
      <c r="J7">
        <v>23497.200000000001</v>
      </c>
      <c r="K7">
        <v>0</v>
      </c>
      <c r="L7">
        <v>0</v>
      </c>
      <c r="M7">
        <v>38582.5</v>
      </c>
      <c r="N7">
        <v>0</v>
      </c>
      <c r="O7">
        <v>0</v>
      </c>
      <c r="P7">
        <v>62079.7</v>
      </c>
    </row>
    <row r="8" spans="1:16" x14ac:dyDescent="0.25">
      <c r="A8" t="s">
        <v>32</v>
      </c>
      <c r="B8" t="s">
        <v>32</v>
      </c>
      <c r="D8" t="s">
        <v>39</v>
      </c>
      <c r="E8" t="s">
        <v>39</v>
      </c>
      <c r="F8">
        <v>1600000</v>
      </c>
      <c r="G8" t="s">
        <v>17</v>
      </c>
      <c r="H8">
        <v>102.637</v>
      </c>
      <c r="I8">
        <v>0</v>
      </c>
      <c r="J8">
        <v>-59037.41</v>
      </c>
      <c r="K8">
        <v>0</v>
      </c>
      <c r="L8">
        <v>-40081.599999999999</v>
      </c>
      <c r="M8">
        <v>31938.959999999999</v>
      </c>
      <c r="N8">
        <v>0</v>
      </c>
      <c r="O8">
        <v>0</v>
      </c>
      <c r="P8">
        <v>-67180.05</v>
      </c>
    </row>
    <row r="9" spans="1:16" x14ac:dyDescent="0.25">
      <c r="A9" t="s">
        <v>32</v>
      </c>
      <c r="B9" t="s">
        <v>32</v>
      </c>
      <c r="D9" t="s">
        <v>40</v>
      </c>
      <c r="E9" t="s">
        <v>40</v>
      </c>
      <c r="F9">
        <v>2500000</v>
      </c>
      <c r="G9" t="s">
        <v>17</v>
      </c>
      <c r="H9">
        <v>106.108</v>
      </c>
      <c r="I9">
        <v>0</v>
      </c>
      <c r="J9">
        <v>-135644.84</v>
      </c>
      <c r="K9">
        <v>0</v>
      </c>
      <c r="L9">
        <v>-67813.17</v>
      </c>
      <c r="M9">
        <v>36102.82</v>
      </c>
      <c r="N9">
        <v>0</v>
      </c>
      <c r="O9">
        <v>0</v>
      </c>
      <c r="P9">
        <v>-167355.19</v>
      </c>
    </row>
    <row r="10" spans="1:16" x14ac:dyDescent="0.25">
      <c r="A10" t="s">
        <v>32</v>
      </c>
      <c r="B10" t="s">
        <v>32</v>
      </c>
      <c r="D10" t="s">
        <v>41</v>
      </c>
      <c r="E10" t="s">
        <v>41</v>
      </c>
      <c r="F10">
        <v>915000</v>
      </c>
      <c r="G10" t="s">
        <v>17</v>
      </c>
      <c r="H10">
        <v>95.498000000000005</v>
      </c>
      <c r="I10">
        <v>0</v>
      </c>
      <c r="J10">
        <v>-29710.71</v>
      </c>
      <c r="K10">
        <v>0</v>
      </c>
      <c r="L10">
        <v>-21072.17</v>
      </c>
      <c r="M10">
        <v>8047.89</v>
      </c>
      <c r="N10">
        <v>0</v>
      </c>
      <c r="O10">
        <v>0</v>
      </c>
      <c r="P10">
        <v>-42734.99</v>
      </c>
    </row>
    <row r="11" spans="1:16" x14ac:dyDescent="0.25">
      <c r="A11" t="s">
        <v>32</v>
      </c>
      <c r="B11" t="s">
        <v>32</v>
      </c>
      <c r="D11" t="s">
        <v>42</v>
      </c>
      <c r="E11" t="s">
        <v>42</v>
      </c>
      <c r="F11">
        <v>915000</v>
      </c>
      <c r="G11" t="s">
        <v>17</v>
      </c>
      <c r="H11">
        <v>93.581999999999994</v>
      </c>
      <c r="I11">
        <v>0</v>
      </c>
      <c r="J11">
        <v>-26765.69</v>
      </c>
      <c r="K11">
        <v>0</v>
      </c>
      <c r="L11">
        <v>-20863.150000000001</v>
      </c>
      <c r="M11">
        <v>9836.2999999999993</v>
      </c>
      <c r="N11">
        <v>0</v>
      </c>
      <c r="O11">
        <v>0</v>
      </c>
      <c r="P11">
        <v>-37792.54</v>
      </c>
    </row>
    <row r="12" spans="1:16" x14ac:dyDescent="0.25">
      <c r="A12" t="s">
        <v>32</v>
      </c>
      <c r="B12" t="s">
        <v>32</v>
      </c>
      <c r="D12" t="s">
        <v>43</v>
      </c>
      <c r="E12" t="s">
        <v>43</v>
      </c>
      <c r="F12">
        <v>2950000</v>
      </c>
      <c r="G12" t="s">
        <v>16</v>
      </c>
      <c r="H12">
        <v>94.96</v>
      </c>
      <c r="I12">
        <v>0</v>
      </c>
      <c r="J12">
        <v>-126614</v>
      </c>
      <c r="K12">
        <v>0</v>
      </c>
      <c r="L12">
        <v>0</v>
      </c>
      <c r="M12">
        <v>44913.75</v>
      </c>
      <c r="N12">
        <v>0</v>
      </c>
      <c r="O12">
        <v>0</v>
      </c>
      <c r="P12">
        <v>-81700.25</v>
      </c>
    </row>
    <row r="13" spans="1:16" x14ac:dyDescent="0.25">
      <c r="A13" t="s">
        <v>32</v>
      </c>
      <c r="B13" t="s">
        <v>32</v>
      </c>
      <c r="D13" t="s">
        <v>44</v>
      </c>
      <c r="E13" t="s">
        <v>44</v>
      </c>
      <c r="F13">
        <v>2400000</v>
      </c>
      <c r="G13" t="s">
        <v>17</v>
      </c>
      <c r="H13">
        <v>93.83</v>
      </c>
      <c r="I13">
        <v>0</v>
      </c>
      <c r="J13">
        <v>-170543.74</v>
      </c>
      <c r="K13">
        <v>0</v>
      </c>
      <c r="L13">
        <v>-90720</v>
      </c>
      <c r="M13">
        <v>17180.060000000001</v>
      </c>
      <c r="N13">
        <v>0</v>
      </c>
      <c r="O13">
        <v>0</v>
      </c>
      <c r="P13">
        <v>-244083.68</v>
      </c>
    </row>
    <row r="14" spans="1:16" x14ac:dyDescent="0.25">
      <c r="A14" t="s">
        <v>32</v>
      </c>
      <c r="B14" t="s">
        <v>32</v>
      </c>
      <c r="D14" t="s">
        <v>45</v>
      </c>
      <c r="E14" t="s">
        <v>45</v>
      </c>
      <c r="F14">
        <v>0</v>
      </c>
      <c r="G14" t="s">
        <v>16</v>
      </c>
      <c r="H14">
        <v>0</v>
      </c>
      <c r="I14">
        <v>46070</v>
      </c>
      <c r="J14">
        <v>-32540.2</v>
      </c>
      <c r="K14">
        <v>0</v>
      </c>
      <c r="L14">
        <v>0</v>
      </c>
      <c r="M14">
        <v>9747.2800000000007</v>
      </c>
      <c r="N14">
        <v>0</v>
      </c>
      <c r="O14">
        <v>0</v>
      </c>
      <c r="P14">
        <v>23277.08</v>
      </c>
    </row>
    <row r="15" spans="1:16" x14ac:dyDescent="0.25">
      <c r="A15" t="s">
        <v>32</v>
      </c>
      <c r="B15" t="s">
        <v>32</v>
      </c>
      <c r="D15" t="s">
        <v>46</v>
      </c>
      <c r="E15" t="s">
        <v>46</v>
      </c>
      <c r="F15">
        <v>0</v>
      </c>
      <c r="G15" t="s">
        <v>16</v>
      </c>
      <c r="H15">
        <v>0</v>
      </c>
      <c r="I15">
        <v>22087.5</v>
      </c>
      <c r="J15">
        <v>-14660.4</v>
      </c>
      <c r="K15">
        <v>0</v>
      </c>
      <c r="L15">
        <v>0</v>
      </c>
      <c r="M15">
        <v>4940</v>
      </c>
      <c r="N15">
        <v>0</v>
      </c>
      <c r="O15">
        <v>0</v>
      </c>
      <c r="P15">
        <v>12367.1</v>
      </c>
    </row>
    <row r="16" spans="1:16" x14ac:dyDescent="0.25">
      <c r="A16" t="s">
        <v>32</v>
      </c>
      <c r="B16" t="s">
        <v>32</v>
      </c>
      <c r="D16" t="s">
        <v>47</v>
      </c>
      <c r="E16" t="s">
        <v>47</v>
      </c>
      <c r="F16">
        <v>1830000</v>
      </c>
      <c r="G16" t="s">
        <v>16</v>
      </c>
      <c r="H16">
        <v>97.397999999999996</v>
      </c>
      <c r="I16">
        <v>-539.85</v>
      </c>
      <c r="J16">
        <v>-27413.4</v>
      </c>
      <c r="K16">
        <v>0</v>
      </c>
      <c r="L16">
        <v>0</v>
      </c>
      <c r="M16">
        <v>26979.79</v>
      </c>
      <c r="N16">
        <v>0</v>
      </c>
      <c r="O16">
        <v>0</v>
      </c>
      <c r="P16">
        <v>-973.46000000000504</v>
      </c>
    </row>
    <row r="17" spans="1:16" x14ac:dyDescent="0.25">
      <c r="A17" t="s">
        <v>32</v>
      </c>
      <c r="B17" t="s">
        <v>32</v>
      </c>
      <c r="D17" t="s">
        <v>48</v>
      </c>
      <c r="E17" t="s">
        <v>48</v>
      </c>
      <c r="F17">
        <v>427000</v>
      </c>
      <c r="G17" t="s">
        <v>16</v>
      </c>
      <c r="H17">
        <v>97.277000000000001</v>
      </c>
      <c r="I17">
        <v>0</v>
      </c>
      <c r="J17">
        <v>-6913.13</v>
      </c>
      <c r="K17">
        <v>0</v>
      </c>
      <c r="L17">
        <v>0</v>
      </c>
      <c r="M17">
        <v>2891.15</v>
      </c>
      <c r="N17">
        <v>0</v>
      </c>
      <c r="O17">
        <v>0</v>
      </c>
      <c r="P17">
        <v>-4021.98</v>
      </c>
    </row>
    <row r="18" spans="1:16" x14ac:dyDescent="0.25">
      <c r="A18" t="s">
        <v>32</v>
      </c>
      <c r="B18" t="s">
        <v>32</v>
      </c>
      <c r="D18" t="s">
        <v>18</v>
      </c>
      <c r="E18" t="s">
        <v>18</v>
      </c>
      <c r="F18">
        <v>1830000</v>
      </c>
      <c r="G18" t="s">
        <v>16</v>
      </c>
      <c r="H18">
        <v>101.41500000000001</v>
      </c>
      <c r="I18">
        <v>0</v>
      </c>
      <c r="J18">
        <v>-30945.3</v>
      </c>
      <c r="K18">
        <v>0</v>
      </c>
      <c r="L18">
        <v>0</v>
      </c>
      <c r="M18">
        <v>29299.06</v>
      </c>
      <c r="N18">
        <v>0</v>
      </c>
      <c r="O18">
        <v>0</v>
      </c>
      <c r="P18">
        <v>-1646.24</v>
      </c>
    </row>
    <row r="19" spans="1:16" x14ac:dyDescent="0.25">
      <c r="A19" t="s">
        <v>32</v>
      </c>
      <c r="B19" t="s">
        <v>32</v>
      </c>
      <c r="D19" t="s">
        <v>19</v>
      </c>
      <c r="E19" t="s">
        <v>19</v>
      </c>
      <c r="F19">
        <v>6710000</v>
      </c>
      <c r="G19" t="s">
        <v>16</v>
      </c>
      <c r="H19">
        <v>96.988</v>
      </c>
      <c r="I19">
        <v>0</v>
      </c>
      <c r="J19">
        <v>-151688.70000000001</v>
      </c>
      <c r="K19">
        <v>0</v>
      </c>
      <c r="L19">
        <v>0</v>
      </c>
      <c r="M19">
        <v>111668.13</v>
      </c>
      <c r="N19">
        <v>0</v>
      </c>
      <c r="O19">
        <v>0</v>
      </c>
      <c r="P19">
        <v>-40020.57</v>
      </c>
    </row>
    <row r="20" spans="1:16" x14ac:dyDescent="0.25">
      <c r="A20" t="s">
        <v>32</v>
      </c>
      <c r="B20" t="s">
        <v>32</v>
      </c>
      <c r="D20" t="s">
        <v>49</v>
      </c>
      <c r="E20" t="s">
        <v>49</v>
      </c>
      <c r="F20">
        <v>1800000</v>
      </c>
      <c r="G20" t="s">
        <v>17</v>
      </c>
      <c r="H20">
        <v>100.399</v>
      </c>
      <c r="I20">
        <v>0</v>
      </c>
      <c r="J20">
        <v>-58044.99</v>
      </c>
      <c r="K20">
        <v>0</v>
      </c>
      <c r="L20">
        <v>-42003.89</v>
      </c>
      <c r="M20">
        <v>30289.77</v>
      </c>
      <c r="N20">
        <v>0</v>
      </c>
      <c r="O20">
        <v>0</v>
      </c>
      <c r="P20">
        <v>-69759.11</v>
      </c>
    </row>
    <row r="21" spans="1:16" x14ac:dyDescent="0.25">
      <c r="A21" t="s">
        <v>32</v>
      </c>
      <c r="B21" t="s">
        <v>32</v>
      </c>
      <c r="D21" t="s">
        <v>50</v>
      </c>
      <c r="E21" t="s">
        <v>50</v>
      </c>
      <c r="F21">
        <v>3050000</v>
      </c>
      <c r="G21" t="s">
        <v>16</v>
      </c>
      <c r="H21">
        <v>103.462</v>
      </c>
      <c r="I21">
        <v>0</v>
      </c>
      <c r="J21">
        <v>-94062</v>
      </c>
      <c r="K21">
        <v>0</v>
      </c>
      <c r="L21">
        <v>0</v>
      </c>
      <c r="M21">
        <v>46657.38</v>
      </c>
      <c r="N21">
        <v>0</v>
      </c>
      <c r="O21">
        <v>0</v>
      </c>
      <c r="P21">
        <v>-47404.62</v>
      </c>
    </row>
    <row r="22" spans="1:16" x14ac:dyDescent="0.25">
      <c r="A22" t="s">
        <v>32</v>
      </c>
      <c r="B22" t="s">
        <v>32</v>
      </c>
      <c r="D22" t="s">
        <v>51</v>
      </c>
      <c r="E22" t="s">
        <v>51</v>
      </c>
      <c r="F22">
        <v>2440000</v>
      </c>
      <c r="G22" t="s">
        <v>16</v>
      </c>
      <c r="H22">
        <v>103.989</v>
      </c>
      <c r="I22">
        <v>0</v>
      </c>
      <c r="J22">
        <v>-90084.800000000003</v>
      </c>
      <c r="K22">
        <v>0</v>
      </c>
      <c r="L22">
        <v>0</v>
      </c>
      <c r="M22">
        <v>39979.4</v>
      </c>
      <c r="N22">
        <v>0</v>
      </c>
      <c r="O22">
        <v>0</v>
      </c>
      <c r="P22">
        <v>-50105.4</v>
      </c>
    </row>
    <row r="23" spans="1:16" x14ac:dyDescent="0.25">
      <c r="A23" t="s">
        <v>32</v>
      </c>
      <c r="B23" t="s">
        <v>32</v>
      </c>
      <c r="D23" t="s">
        <v>52</v>
      </c>
      <c r="E23" t="s">
        <v>52</v>
      </c>
      <c r="F23">
        <v>0</v>
      </c>
      <c r="G23" t="s">
        <v>16</v>
      </c>
      <c r="H23">
        <v>0</v>
      </c>
      <c r="I23">
        <v>-1509.35</v>
      </c>
      <c r="J23">
        <v>12132.63</v>
      </c>
      <c r="K23">
        <v>0</v>
      </c>
      <c r="L23">
        <v>0</v>
      </c>
      <c r="M23">
        <v>-31752.62</v>
      </c>
      <c r="N23">
        <v>0</v>
      </c>
      <c r="O23">
        <v>0</v>
      </c>
      <c r="P23">
        <v>-21129.34</v>
      </c>
    </row>
    <row r="24" spans="1:16" x14ac:dyDescent="0.25">
      <c r="A24" t="s">
        <v>32</v>
      </c>
      <c r="B24" t="s">
        <v>32</v>
      </c>
      <c r="D24" t="s">
        <v>53</v>
      </c>
      <c r="E24" t="s">
        <v>53</v>
      </c>
      <c r="F24">
        <v>15250000</v>
      </c>
      <c r="G24" t="s">
        <v>16</v>
      </c>
      <c r="H24">
        <v>1.9822356759638999</v>
      </c>
      <c r="I24">
        <v>0</v>
      </c>
      <c r="J24">
        <v>-74914.11</v>
      </c>
      <c r="K24">
        <v>0</v>
      </c>
      <c r="L24">
        <v>0</v>
      </c>
      <c r="M24">
        <v>-3812.5</v>
      </c>
      <c r="N24">
        <v>0</v>
      </c>
      <c r="O24">
        <v>0</v>
      </c>
      <c r="P24">
        <v>-78726.61</v>
      </c>
    </row>
    <row r="25" spans="1:16" x14ac:dyDescent="0.25">
      <c r="A25" t="s">
        <v>32</v>
      </c>
      <c r="B25" t="s">
        <v>32</v>
      </c>
      <c r="D25" t="s">
        <v>54</v>
      </c>
      <c r="E25" t="s">
        <v>54</v>
      </c>
      <c r="F25">
        <v>0</v>
      </c>
      <c r="G25" t="s">
        <v>16</v>
      </c>
      <c r="H25">
        <v>0</v>
      </c>
      <c r="I25">
        <v>68509.47</v>
      </c>
      <c r="J25">
        <v>-36806.1</v>
      </c>
      <c r="K25">
        <v>0</v>
      </c>
      <c r="L25">
        <v>0</v>
      </c>
      <c r="M25">
        <v>-30143.7</v>
      </c>
      <c r="N25">
        <v>0</v>
      </c>
      <c r="O25">
        <v>0</v>
      </c>
      <c r="P25">
        <v>1559.6700000000101</v>
      </c>
    </row>
    <row r="26" spans="1:16" x14ac:dyDescent="0.25">
      <c r="A26" t="s">
        <v>32</v>
      </c>
      <c r="B26" t="s">
        <v>32</v>
      </c>
      <c r="D26" t="s">
        <v>55</v>
      </c>
      <c r="E26" t="s">
        <v>55</v>
      </c>
      <c r="F26">
        <v>9150000</v>
      </c>
      <c r="G26" t="s">
        <v>16</v>
      </c>
      <c r="H26">
        <v>5.6603389129683999</v>
      </c>
      <c r="I26">
        <v>0</v>
      </c>
      <c r="J26">
        <v>-13939.98</v>
      </c>
      <c r="K26">
        <v>0</v>
      </c>
      <c r="L26">
        <v>0</v>
      </c>
      <c r="M26">
        <v>-2287.5</v>
      </c>
      <c r="N26">
        <v>0</v>
      </c>
      <c r="O26">
        <v>0</v>
      </c>
      <c r="P26">
        <v>-16227.48</v>
      </c>
    </row>
    <row r="27" spans="1:16" x14ac:dyDescent="0.25">
      <c r="A27" t="s">
        <v>32</v>
      </c>
      <c r="B27" t="s">
        <v>32</v>
      </c>
      <c r="D27" t="s">
        <v>56</v>
      </c>
      <c r="E27" t="s">
        <v>56</v>
      </c>
      <c r="F27">
        <v>0</v>
      </c>
      <c r="G27" t="s">
        <v>16</v>
      </c>
      <c r="H27">
        <v>0</v>
      </c>
      <c r="I27">
        <v>17293.79</v>
      </c>
      <c r="J27">
        <v>0</v>
      </c>
      <c r="K27">
        <v>0</v>
      </c>
      <c r="L27">
        <v>0</v>
      </c>
      <c r="M27">
        <v>338.88999999999902</v>
      </c>
      <c r="N27">
        <v>0</v>
      </c>
      <c r="O27">
        <v>0</v>
      </c>
      <c r="P27">
        <v>17632.68</v>
      </c>
    </row>
    <row r="28" spans="1:16" x14ac:dyDescent="0.25">
      <c r="A28" t="s">
        <v>32</v>
      </c>
      <c r="B28" t="s">
        <v>32</v>
      </c>
      <c r="D28" t="s">
        <v>57</v>
      </c>
      <c r="E28" t="s">
        <v>57</v>
      </c>
      <c r="F28">
        <v>0</v>
      </c>
      <c r="G28" t="s">
        <v>16</v>
      </c>
      <c r="H28">
        <v>0</v>
      </c>
      <c r="I28">
        <v>52765.599999999999</v>
      </c>
      <c r="J28">
        <v>-145582.57</v>
      </c>
      <c r="K28">
        <v>0</v>
      </c>
      <c r="L28">
        <v>0</v>
      </c>
      <c r="M28">
        <v>-19147.23</v>
      </c>
      <c r="N28">
        <v>0</v>
      </c>
      <c r="O28">
        <v>0</v>
      </c>
      <c r="P28">
        <v>-111964.2</v>
      </c>
    </row>
    <row r="29" spans="1:16" x14ac:dyDescent="0.25">
      <c r="A29" t="s">
        <v>32</v>
      </c>
      <c r="B29" t="s">
        <v>32</v>
      </c>
      <c r="D29" t="s">
        <v>20</v>
      </c>
      <c r="E29" t="s">
        <v>20</v>
      </c>
      <c r="F29">
        <v>0</v>
      </c>
      <c r="G29" t="s">
        <v>16</v>
      </c>
      <c r="H29">
        <v>-4.5130999999999997</v>
      </c>
      <c r="I29">
        <v>-14671.65</v>
      </c>
      <c r="J29">
        <v>106622.66</v>
      </c>
      <c r="K29">
        <v>0</v>
      </c>
      <c r="L29">
        <v>0</v>
      </c>
      <c r="M29">
        <v>19291.25</v>
      </c>
      <c r="N29">
        <v>0</v>
      </c>
      <c r="O29">
        <v>0</v>
      </c>
      <c r="P29">
        <v>111242.26</v>
      </c>
    </row>
    <row r="30" spans="1:16" x14ac:dyDescent="0.25">
      <c r="A30" t="s">
        <v>32</v>
      </c>
      <c r="B30" t="s">
        <v>32</v>
      </c>
      <c r="D30" t="s">
        <v>31</v>
      </c>
      <c r="E30" t="s">
        <v>31</v>
      </c>
      <c r="F30">
        <v>-6100000</v>
      </c>
      <c r="G30" t="s">
        <v>16</v>
      </c>
      <c r="H30">
        <v>0</v>
      </c>
      <c r="I30">
        <v>0</v>
      </c>
      <c r="J30">
        <v>11516.8</v>
      </c>
      <c r="K30">
        <v>0</v>
      </c>
      <c r="L30">
        <v>0</v>
      </c>
      <c r="M30">
        <v>0</v>
      </c>
      <c r="N30">
        <v>0</v>
      </c>
      <c r="O30">
        <v>0</v>
      </c>
      <c r="P30">
        <v>11516.8</v>
      </c>
    </row>
    <row r="31" spans="1:16" x14ac:dyDescent="0.25">
      <c r="A31" t="s">
        <v>32</v>
      </c>
      <c r="B31" t="s">
        <v>32</v>
      </c>
      <c r="D31" t="s">
        <v>58</v>
      </c>
      <c r="E31" t="s">
        <v>58</v>
      </c>
      <c r="F31">
        <v>0</v>
      </c>
      <c r="G31" t="s">
        <v>16</v>
      </c>
      <c r="H31">
        <v>2.3620000000000001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25">
      <c r="A32" t="s">
        <v>32</v>
      </c>
      <c r="B32" t="s">
        <v>32</v>
      </c>
      <c r="D32" t="s">
        <v>59</v>
      </c>
      <c r="E32" t="s">
        <v>59</v>
      </c>
      <c r="F32">
        <v>0</v>
      </c>
      <c r="G32" t="s">
        <v>16</v>
      </c>
      <c r="H32">
        <v>0</v>
      </c>
      <c r="I32">
        <v>99125</v>
      </c>
      <c r="J32">
        <v>-54595</v>
      </c>
      <c r="K32">
        <v>0</v>
      </c>
      <c r="L32">
        <v>0</v>
      </c>
      <c r="M32">
        <v>11013.89</v>
      </c>
      <c r="N32">
        <v>0</v>
      </c>
      <c r="O32">
        <v>0</v>
      </c>
      <c r="P32">
        <v>55543.89</v>
      </c>
    </row>
    <row r="33" spans="1:16" x14ac:dyDescent="0.25">
      <c r="A33" t="s">
        <v>32</v>
      </c>
      <c r="B33" t="s">
        <v>32</v>
      </c>
      <c r="D33" t="s">
        <v>60</v>
      </c>
      <c r="E33" t="s">
        <v>60</v>
      </c>
      <c r="F33">
        <v>0</v>
      </c>
      <c r="G33" t="s">
        <v>16</v>
      </c>
      <c r="H33">
        <v>0</v>
      </c>
      <c r="I33">
        <v>-10694.7</v>
      </c>
      <c r="J33">
        <v>21811.55</v>
      </c>
      <c r="K33">
        <v>0</v>
      </c>
      <c r="L33">
        <v>0</v>
      </c>
      <c r="M33">
        <v>-53931.62</v>
      </c>
      <c r="N33">
        <v>0</v>
      </c>
      <c r="O33">
        <v>0</v>
      </c>
      <c r="P33">
        <v>-42814.77</v>
      </c>
    </row>
    <row r="34" spans="1:16" x14ac:dyDescent="0.25">
      <c r="A34" t="s">
        <v>32</v>
      </c>
      <c r="B34" t="s">
        <v>32</v>
      </c>
      <c r="D34" t="s">
        <v>61</v>
      </c>
      <c r="E34" t="s">
        <v>61</v>
      </c>
      <c r="F34">
        <v>30500000</v>
      </c>
      <c r="G34" t="s">
        <v>16</v>
      </c>
      <c r="H34">
        <v>-1.5208204113287001</v>
      </c>
      <c r="I34">
        <v>0</v>
      </c>
      <c r="J34">
        <v>38775.82</v>
      </c>
      <c r="K34">
        <v>0</v>
      </c>
      <c r="L34">
        <v>0</v>
      </c>
      <c r="M34" s="5">
        <v>-5930.56</v>
      </c>
      <c r="N34">
        <v>0</v>
      </c>
      <c r="O34" s="4">
        <v>0</v>
      </c>
      <c r="P34">
        <v>32845.26</v>
      </c>
    </row>
    <row r="35" spans="1:16" x14ac:dyDescent="0.25">
      <c r="A35" t="s">
        <v>32</v>
      </c>
      <c r="B35" t="s">
        <v>32</v>
      </c>
      <c r="D35" t="s">
        <v>62</v>
      </c>
      <c r="E35" t="s">
        <v>62</v>
      </c>
      <c r="F35">
        <v>0</v>
      </c>
      <c r="G35" t="s">
        <v>17</v>
      </c>
      <c r="H35">
        <v>0</v>
      </c>
      <c r="I35">
        <v>592656.54</v>
      </c>
      <c r="J35">
        <v>269864.21999999997</v>
      </c>
      <c r="K35">
        <v>79547.759999999995</v>
      </c>
      <c r="L35">
        <v>-15068.82</v>
      </c>
      <c r="M35">
        <v>-306320.39</v>
      </c>
      <c r="N35">
        <v>0</v>
      </c>
      <c r="O35" s="4">
        <v>-3.4924596548080398E-10</v>
      </c>
      <c r="P35">
        <v>620679.31000000006</v>
      </c>
    </row>
    <row r="36" spans="1:16" x14ac:dyDescent="0.25">
      <c r="A36" t="s">
        <v>32</v>
      </c>
      <c r="B36" t="s">
        <v>32</v>
      </c>
      <c r="D36" t="s">
        <v>63</v>
      </c>
      <c r="E36" t="s">
        <v>63</v>
      </c>
      <c r="F36">
        <v>-6099000</v>
      </c>
      <c r="G36" t="s">
        <v>17</v>
      </c>
      <c r="H36">
        <v>0</v>
      </c>
      <c r="I36">
        <v>0</v>
      </c>
      <c r="J36">
        <v>-54892.87</v>
      </c>
      <c r="K36">
        <v>0</v>
      </c>
      <c r="L36">
        <v>-1663.55</v>
      </c>
      <c r="M36">
        <v>6825.63</v>
      </c>
      <c r="N36">
        <v>0</v>
      </c>
      <c r="O36">
        <v>0</v>
      </c>
      <c r="P36">
        <v>-49730.79</v>
      </c>
    </row>
    <row r="37" spans="1:16" x14ac:dyDescent="0.25">
      <c r="A37" t="s">
        <v>32</v>
      </c>
      <c r="B37" t="s">
        <v>32</v>
      </c>
      <c r="D37" t="s">
        <v>64</v>
      </c>
      <c r="E37" t="s">
        <v>64</v>
      </c>
      <c r="F37">
        <v>0</v>
      </c>
      <c r="G37" t="s">
        <v>17</v>
      </c>
      <c r="H37">
        <v>0</v>
      </c>
      <c r="I37">
        <v>71460.41</v>
      </c>
      <c r="J37">
        <v>76388.960000000006</v>
      </c>
      <c r="K37">
        <v>-304.23</v>
      </c>
      <c r="L37">
        <v>83.25</v>
      </c>
      <c r="M37">
        <v>-31894.95</v>
      </c>
      <c r="N37">
        <v>0</v>
      </c>
      <c r="O37">
        <v>0</v>
      </c>
      <c r="P37">
        <v>115733.44</v>
      </c>
    </row>
    <row r="38" spans="1:16" x14ac:dyDescent="0.25">
      <c r="A38" t="s">
        <v>32</v>
      </c>
      <c r="B38" t="s">
        <v>32</v>
      </c>
      <c r="D38" t="s">
        <v>65</v>
      </c>
      <c r="E38" t="s">
        <v>65</v>
      </c>
      <c r="F38">
        <v>0</v>
      </c>
      <c r="G38" t="s">
        <v>17</v>
      </c>
      <c r="H38">
        <v>0</v>
      </c>
      <c r="I38">
        <v>-142812.4</v>
      </c>
      <c r="J38">
        <v>-70767.45</v>
      </c>
      <c r="K38">
        <v>7609.74</v>
      </c>
      <c r="L38">
        <v>8480.56</v>
      </c>
      <c r="M38">
        <v>132161.54</v>
      </c>
      <c r="N38">
        <v>0</v>
      </c>
      <c r="O38">
        <v>0</v>
      </c>
      <c r="P38">
        <v>-65328.01</v>
      </c>
    </row>
    <row r="39" spans="1:16" x14ac:dyDescent="0.25">
      <c r="A39" t="s">
        <v>32</v>
      </c>
      <c r="B39" t="s">
        <v>32</v>
      </c>
      <c r="D39" t="s">
        <v>66</v>
      </c>
      <c r="E39" t="s">
        <v>66</v>
      </c>
      <c r="F39">
        <v>-85400000</v>
      </c>
      <c r="G39" t="s">
        <v>17</v>
      </c>
      <c r="H39">
        <v>0</v>
      </c>
      <c r="I39">
        <v>0</v>
      </c>
      <c r="J39">
        <v>-145837.72</v>
      </c>
      <c r="K39">
        <v>0</v>
      </c>
      <c r="L39">
        <v>-4972.1400000000003</v>
      </c>
      <c r="M39">
        <v>19114.88</v>
      </c>
      <c r="N39">
        <v>0</v>
      </c>
      <c r="O39">
        <v>0</v>
      </c>
      <c r="P39">
        <v>-131694.98000000001</v>
      </c>
    </row>
    <row r="40" spans="1:16" x14ac:dyDescent="0.25">
      <c r="A40" t="s">
        <v>32</v>
      </c>
      <c r="B40" t="s">
        <v>32</v>
      </c>
      <c r="D40" t="s">
        <v>67</v>
      </c>
      <c r="E40" t="s">
        <v>67</v>
      </c>
      <c r="F40">
        <v>336000</v>
      </c>
      <c r="G40" t="s">
        <v>17</v>
      </c>
      <c r="H40">
        <v>96.817999999999998</v>
      </c>
      <c r="I40">
        <v>0</v>
      </c>
      <c r="J40">
        <v>-5412.96</v>
      </c>
      <c r="K40">
        <v>0</v>
      </c>
      <c r="L40">
        <v>-7827.05</v>
      </c>
      <c r="M40">
        <v>4067.91</v>
      </c>
      <c r="N40">
        <v>0</v>
      </c>
      <c r="O40">
        <v>0</v>
      </c>
      <c r="P40">
        <v>-9172.1</v>
      </c>
    </row>
    <row r="41" spans="1:16" x14ac:dyDescent="0.25">
      <c r="A41" t="s">
        <v>32</v>
      </c>
      <c r="B41" t="s">
        <v>32</v>
      </c>
      <c r="D41" t="s">
        <v>68</v>
      </c>
      <c r="E41" t="s">
        <v>68</v>
      </c>
      <c r="F41">
        <v>915000</v>
      </c>
      <c r="G41" t="s">
        <v>17</v>
      </c>
      <c r="H41">
        <v>94.463999999999999</v>
      </c>
      <c r="I41">
        <v>0</v>
      </c>
      <c r="J41">
        <v>-15376.53</v>
      </c>
      <c r="K41">
        <v>0</v>
      </c>
      <c r="L41">
        <v>-21473.83</v>
      </c>
      <c r="M41">
        <v>12428.87</v>
      </c>
      <c r="N41">
        <v>0</v>
      </c>
      <c r="O41">
        <v>0</v>
      </c>
      <c r="P41">
        <v>-24421.49</v>
      </c>
    </row>
    <row r="42" spans="1:16" x14ac:dyDescent="0.25">
      <c r="A42" t="s">
        <v>32</v>
      </c>
      <c r="B42" t="s">
        <v>32</v>
      </c>
      <c r="D42" t="s">
        <v>69</v>
      </c>
      <c r="E42" t="s">
        <v>69</v>
      </c>
      <c r="F42">
        <v>610000</v>
      </c>
      <c r="G42" t="s">
        <v>17</v>
      </c>
      <c r="H42">
        <v>91.475999999999999</v>
      </c>
      <c r="I42">
        <v>0</v>
      </c>
      <c r="J42">
        <v>-15885.79</v>
      </c>
      <c r="K42">
        <v>0</v>
      </c>
      <c r="L42">
        <v>-14253</v>
      </c>
      <c r="M42">
        <v>9783.34</v>
      </c>
      <c r="N42">
        <v>0</v>
      </c>
      <c r="O42">
        <v>0</v>
      </c>
      <c r="P42">
        <v>-20355.45</v>
      </c>
    </row>
    <row r="43" spans="1:16" x14ac:dyDescent="0.25">
      <c r="A43" t="s">
        <v>32</v>
      </c>
      <c r="B43" t="s">
        <v>32</v>
      </c>
      <c r="D43" t="s">
        <v>70</v>
      </c>
      <c r="E43" t="s">
        <v>70</v>
      </c>
      <c r="F43">
        <v>610000</v>
      </c>
      <c r="G43" t="s">
        <v>17</v>
      </c>
      <c r="H43">
        <v>94.465000000000003</v>
      </c>
      <c r="I43">
        <v>0</v>
      </c>
      <c r="J43">
        <v>-17827.28</v>
      </c>
      <c r="K43">
        <v>0</v>
      </c>
      <c r="L43">
        <v>-14188.07</v>
      </c>
      <c r="M43">
        <v>9436.6299999999992</v>
      </c>
      <c r="N43">
        <v>0</v>
      </c>
      <c r="O43">
        <v>0</v>
      </c>
      <c r="P43">
        <v>-22578.720000000001</v>
      </c>
    </row>
    <row r="44" spans="1:16" x14ac:dyDescent="0.25">
      <c r="A44" t="s">
        <v>32</v>
      </c>
      <c r="B44" t="s">
        <v>32</v>
      </c>
      <c r="D44" t="s">
        <v>71</v>
      </c>
      <c r="E44" t="s">
        <v>71</v>
      </c>
      <c r="F44">
        <v>305000</v>
      </c>
      <c r="G44" t="s">
        <v>17</v>
      </c>
      <c r="H44">
        <v>95.22</v>
      </c>
      <c r="I44">
        <v>0</v>
      </c>
      <c r="J44">
        <v>-5356.87</v>
      </c>
      <c r="K44">
        <v>0</v>
      </c>
      <c r="L44">
        <v>-7106.22</v>
      </c>
      <c r="M44">
        <v>5333.75</v>
      </c>
      <c r="N44">
        <v>0</v>
      </c>
      <c r="O44">
        <v>0</v>
      </c>
      <c r="P44">
        <v>-7129.34</v>
      </c>
    </row>
    <row r="45" spans="1:16" x14ac:dyDescent="0.25">
      <c r="A45" t="s">
        <v>32</v>
      </c>
      <c r="B45" t="s">
        <v>32</v>
      </c>
      <c r="D45" t="s">
        <v>72</v>
      </c>
      <c r="E45" t="s">
        <v>72</v>
      </c>
      <c r="F45">
        <v>1100000</v>
      </c>
      <c r="G45" t="s">
        <v>16</v>
      </c>
      <c r="H45">
        <v>102.27800000000001</v>
      </c>
      <c r="I45">
        <v>6222</v>
      </c>
      <c r="J45">
        <v>-26568.6</v>
      </c>
      <c r="K45">
        <v>0</v>
      </c>
      <c r="L45">
        <v>0</v>
      </c>
      <c r="M45">
        <v>22352.080000000002</v>
      </c>
      <c r="N45">
        <v>0</v>
      </c>
      <c r="O45">
        <v>0</v>
      </c>
      <c r="P45">
        <v>2005.48</v>
      </c>
    </row>
    <row r="46" spans="1:16" x14ac:dyDescent="0.25">
      <c r="A46" t="s">
        <v>32</v>
      </c>
      <c r="B46" t="s">
        <v>32</v>
      </c>
      <c r="D46" t="s">
        <v>73</v>
      </c>
      <c r="E46" t="s">
        <v>73</v>
      </c>
      <c r="F46">
        <v>4042000</v>
      </c>
      <c r="G46" t="s">
        <v>16</v>
      </c>
      <c r="H46">
        <v>104.866</v>
      </c>
      <c r="I46">
        <v>0</v>
      </c>
      <c r="J46">
        <v>-78293.539999999994</v>
      </c>
      <c r="K46">
        <v>0</v>
      </c>
      <c r="L46">
        <v>0</v>
      </c>
      <c r="M46">
        <v>78145.33</v>
      </c>
      <c r="N46">
        <v>0</v>
      </c>
      <c r="O46">
        <v>0</v>
      </c>
      <c r="P46">
        <v>-148.209999999996</v>
      </c>
    </row>
    <row r="47" spans="1:16" x14ac:dyDescent="0.25">
      <c r="A47" t="s">
        <v>32</v>
      </c>
      <c r="B47" t="s">
        <v>32</v>
      </c>
      <c r="D47" t="s">
        <v>74</v>
      </c>
      <c r="E47" t="s">
        <v>74</v>
      </c>
      <c r="F47">
        <v>1502000</v>
      </c>
      <c r="G47" t="s">
        <v>16</v>
      </c>
      <c r="H47">
        <v>103.233</v>
      </c>
      <c r="I47">
        <v>0</v>
      </c>
      <c r="J47">
        <v>-44113.74</v>
      </c>
      <c r="K47">
        <v>0</v>
      </c>
      <c r="L47">
        <v>0</v>
      </c>
      <c r="M47">
        <v>30399.86</v>
      </c>
      <c r="N47">
        <v>0</v>
      </c>
      <c r="O47">
        <v>0</v>
      </c>
      <c r="P47">
        <v>-13713.88</v>
      </c>
    </row>
    <row r="48" spans="1:16" x14ac:dyDescent="0.25">
      <c r="A48" t="s">
        <v>32</v>
      </c>
      <c r="B48" t="s">
        <v>32</v>
      </c>
      <c r="D48" t="s">
        <v>29</v>
      </c>
      <c r="E48" t="s">
        <v>29</v>
      </c>
      <c r="F48">
        <v>0</v>
      </c>
      <c r="G48" t="s">
        <v>16</v>
      </c>
      <c r="H48">
        <v>0</v>
      </c>
      <c r="I48">
        <v>63509.25</v>
      </c>
      <c r="J48">
        <v>-65522.25</v>
      </c>
      <c r="K48">
        <v>0</v>
      </c>
      <c r="L48">
        <v>0</v>
      </c>
      <c r="M48">
        <v>14233.33</v>
      </c>
      <c r="N48">
        <v>0</v>
      </c>
      <c r="O48">
        <v>0</v>
      </c>
      <c r="P48">
        <v>12220.33</v>
      </c>
    </row>
    <row r="49" spans="1:16" x14ac:dyDescent="0.25">
      <c r="A49" t="s">
        <v>32</v>
      </c>
      <c r="B49" t="s">
        <v>32</v>
      </c>
      <c r="D49" t="s">
        <v>75</v>
      </c>
      <c r="E49" t="s">
        <v>75</v>
      </c>
      <c r="F49">
        <v>2850000</v>
      </c>
      <c r="G49" t="s">
        <v>16</v>
      </c>
      <c r="H49">
        <v>102.23399999999999</v>
      </c>
      <c r="I49">
        <v>0</v>
      </c>
      <c r="J49">
        <v>-82593</v>
      </c>
      <c r="K49">
        <v>0</v>
      </c>
      <c r="L49">
        <v>0</v>
      </c>
      <c r="M49">
        <v>50795.32</v>
      </c>
      <c r="N49">
        <v>0</v>
      </c>
      <c r="O49">
        <v>0</v>
      </c>
      <c r="P49">
        <v>-31797.68</v>
      </c>
    </row>
    <row r="50" spans="1:16" x14ac:dyDescent="0.25">
      <c r="A50" t="s">
        <v>32</v>
      </c>
      <c r="B50" t="s">
        <v>32</v>
      </c>
      <c r="D50" t="s">
        <v>76</v>
      </c>
      <c r="E50" t="s">
        <v>76</v>
      </c>
      <c r="F50">
        <v>1830000</v>
      </c>
      <c r="G50" t="s">
        <v>16</v>
      </c>
      <c r="H50">
        <v>104.068</v>
      </c>
      <c r="I50">
        <v>0</v>
      </c>
      <c r="J50">
        <v>-13487.1</v>
      </c>
      <c r="K50">
        <v>0</v>
      </c>
      <c r="L50">
        <v>0</v>
      </c>
      <c r="M50">
        <v>47025.36</v>
      </c>
      <c r="N50">
        <v>0</v>
      </c>
      <c r="O50">
        <v>0</v>
      </c>
      <c r="P50">
        <v>33538.26</v>
      </c>
    </row>
    <row r="51" spans="1:16" x14ac:dyDescent="0.25">
      <c r="A51" t="s">
        <v>32</v>
      </c>
      <c r="B51" t="s">
        <v>32</v>
      </c>
      <c r="D51" t="s">
        <v>77</v>
      </c>
      <c r="E51" t="s">
        <v>77</v>
      </c>
      <c r="F51">
        <v>610000</v>
      </c>
      <c r="G51" t="s">
        <v>16</v>
      </c>
      <c r="H51">
        <v>73.31</v>
      </c>
      <c r="I51">
        <v>0</v>
      </c>
      <c r="J51">
        <v>-8527.7999999999993</v>
      </c>
      <c r="K51">
        <v>0</v>
      </c>
      <c r="L51">
        <v>0</v>
      </c>
      <c r="M51">
        <v>8660.73</v>
      </c>
      <c r="N51">
        <v>0</v>
      </c>
      <c r="O51">
        <v>0</v>
      </c>
      <c r="P51">
        <v>132.93</v>
      </c>
    </row>
    <row r="52" spans="1:16" x14ac:dyDescent="0.25">
      <c r="A52" t="s">
        <v>32</v>
      </c>
      <c r="B52" t="s">
        <v>32</v>
      </c>
      <c r="D52" t="s">
        <v>78</v>
      </c>
      <c r="E52" t="s">
        <v>78</v>
      </c>
      <c r="F52">
        <v>610000</v>
      </c>
      <c r="G52" t="s">
        <v>16</v>
      </c>
      <c r="H52">
        <v>70.481999999999999</v>
      </c>
      <c r="I52">
        <v>0</v>
      </c>
      <c r="J52">
        <v>-9455</v>
      </c>
      <c r="K52">
        <v>0</v>
      </c>
      <c r="L52">
        <v>0</v>
      </c>
      <c r="M52">
        <v>8660.73</v>
      </c>
      <c r="N52">
        <v>0</v>
      </c>
      <c r="O52">
        <v>0</v>
      </c>
      <c r="P52">
        <v>-794.27</v>
      </c>
    </row>
    <row r="53" spans="1:16" x14ac:dyDescent="0.25">
      <c r="A53" t="s">
        <v>32</v>
      </c>
      <c r="B53" t="s">
        <v>32</v>
      </c>
      <c r="D53" t="s">
        <v>79</v>
      </c>
      <c r="E53" t="s">
        <v>79</v>
      </c>
      <c r="F53">
        <v>1220000</v>
      </c>
      <c r="G53" t="s">
        <v>16</v>
      </c>
      <c r="H53">
        <v>100.79600000000001</v>
      </c>
      <c r="I53">
        <v>0</v>
      </c>
      <c r="J53">
        <v>-22521.200000000001</v>
      </c>
      <c r="K53">
        <v>0</v>
      </c>
      <c r="L53">
        <v>0</v>
      </c>
      <c r="M53">
        <v>22849.59</v>
      </c>
      <c r="N53">
        <v>0</v>
      </c>
      <c r="O53">
        <v>0</v>
      </c>
      <c r="P53">
        <v>328.38999999999902</v>
      </c>
    </row>
    <row r="54" spans="1:16" x14ac:dyDescent="0.25">
      <c r="A54" t="s">
        <v>32</v>
      </c>
      <c r="B54" t="s">
        <v>32</v>
      </c>
      <c r="D54" t="s">
        <v>80</v>
      </c>
      <c r="E54" t="s">
        <v>80</v>
      </c>
      <c r="F54">
        <v>3050000</v>
      </c>
      <c r="G54" t="s">
        <v>16</v>
      </c>
      <c r="H54">
        <v>101.12</v>
      </c>
      <c r="I54">
        <v>0</v>
      </c>
      <c r="J54">
        <v>-53497</v>
      </c>
      <c r="K54">
        <v>0</v>
      </c>
      <c r="L54">
        <v>0</v>
      </c>
      <c r="M54">
        <v>61730.74</v>
      </c>
      <c r="N54">
        <v>0</v>
      </c>
      <c r="O54">
        <v>0</v>
      </c>
      <c r="P54">
        <v>8233.7400000000107</v>
      </c>
    </row>
    <row r="55" spans="1:16" x14ac:dyDescent="0.25">
      <c r="A55" t="s">
        <v>32</v>
      </c>
      <c r="B55" t="s">
        <v>32</v>
      </c>
      <c r="D55" t="s">
        <v>81</v>
      </c>
      <c r="E55" t="s">
        <v>81</v>
      </c>
      <c r="F55">
        <v>590000</v>
      </c>
      <c r="G55" t="s">
        <v>16</v>
      </c>
      <c r="H55">
        <v>105.065</v>
      </c>
      <c r="I55">
        <v>0</v>
      </c>
      <c r="J55">
        <v>-9611.1</v>
      </c>
      <c r="K55">
        <v>0</v>
      </c>
      <c r="L55">
        <v>0</v>
      </c>
      <c r="M55">
        <v>12654.27</v>
      </c>
      <c r="N55">
        <v>0</v>
      </c>
      <c r="O55">
        <v>0</v>
      </c>
      <c r="P55">
        <v>3043.17</v>
      </c>
    </row>
    <row r="56" spans="1:16" x14ac:dyDescent="0.25">
      <c r="A56" t="s">
        <v>32</v>
      </c>
      <c r="B56" t="s">
        <v>32</v>
      </c>
      <c r="D56" t="s">
        <v>82</v>
      </c>
      <c r="E56" t="s">
        <v>82</v>
      </c>
      <c r="F56">
        <v>1000000</v>
      </c>
      <c r="G56" t="s">
        <v>17</v>
      </c>
      <c r="H56">
        <v>96.554000000000002</v>
      </c>
      <c r="I56">
        <v>0</v>
      </c>
      <c r="J56">
        <v>-28890.65</v>
      </c>
      <c r="K56">
        <v>0</v>
      </c>
      <c r="L56">
        <v>-23355.82</v>
      </c>
      <c r="M56">
        <v>11934.07</v>
      </c>
      <c r="N56">
        <v>0</v>
      </c>
      <c r="O56">
        <v>0</v>
      </c>
      <c r="P56">
        <v>-40312.400000000001</v>
      </c>
    </row>
    <row r="57" spans="1:16" x14ac:dyDescent="0.25">
      <c r="A57" t="s">
        <v>32</v>
      </c>
      <c r="B57" t="s">
        <v>32</v>
      </c>
      <c r="D57" t="s">
        <v>83</v>
      </c>
      <c r="E57" t="s">
        <v>83</v>
      </c>
      <c r="F57">
        <v>3660000</v>
      </c>
      <c r="G57" t="s">
        <v>16</v>
      </c>
      <c r="H57">
        <v>115.533</v>
      </c>
      <c r="I57">
        <v>0</v>
      </c>
      <c r="J57">
        <v>-17568</v>
      </c>
      <c r="K57">
        <v>0</v>
      </c>
      <c r="L57">
        <v>0</v>
      </c>
      <c r="M57">
        <v>80710.63</v>
      </c>
      <c r="N57">
        <v>0</v>
      </c>
      <c r="O57">
        <v>0</v>
      </c>
      <c r="P57">
        <v>63142.63</v>
      </c>
    </row>
    <row r="58" spans="1:16" x14ac:dyDescent="0.25">
      <c r="A58" t="s">
        <v>32</v>
      </c>
      <c r="B58" t="s">
        <v>32</v>
      </c>
      <c r="D58" t="s">
        <v>84</v>
      </c>
      <c r="E58" t="s">
        <v>84</v>
      </c>
      <c r="F58">
        <v>2708000</v>
      </c>
      <c r="G58" t="s">
        <v>16</v>
      </c>
      <c r="H58">
        <v>101.459</v>
      </c>
      <c r="I58">
        <v>0</v>
      </c>
      <c r="J58">
        <v>-85112.44</v>
      </c>
      <c r="K58">
        <v>0</v>
      </c>
      <c r="L58">
        <v>0</v>
      </c>
      <c r="M58">
        <v>38938.79</v>
      </c>
      <c r="N58">
        <v>0</v>
      </c>
      <c r="O58">
        <v>0</v>
      </c>
      <c r="P58">
        <v>-46173.65</v>
      </c>
    </row>
    <row r="59" spans="1:16" x14ac:dyDescent="0.25">
      <c r="A59" t="s">
        <v>32</v>
      </c>
      <c r="B59" t="s">
        <v>32</v>
      </c>
      <c r="D59" t="s">
        <v>85</v>
      </c>
      <c r="E59" t="s">
        <v>85</v>
      </c>
      <c r="F59">
        <v>1774000</v>
      </c>
      <c r="G59" t="s">
        <v>16</v>
      </c>
      <c r="H59">
        <v>103</v>
      </c>
      <c r="I59">
        <v>0</v>
      </c>
      <c r="J59">
        <v>-53574.8</v>
      </c>
      <c r="K59">
        <v>0</v>
      </c>
      <c r="L59">
        <v>0</v>
      </c>
      <c r="M59">
        <v>26366.07</v>
      </c>
      <c r="N59">
        <v>0</v>
      </c>
      <c r="O59">
        <v>0</v>
      </c>
      <c r="P59">
        <v>-27208.73</v>
      </c>
    </row>
    <row r="60" spans="1:16" x14ac:dyDescent="0.25">
      <c r="A60" t="s">
        <v>32</v>
      </c>
      <c r="B60" t="s">
        <v>32</v>
      </c>
      <c r="D60" t="s">
        <v>17</v>
      </c>
      <c r="E60" t="s">
        <v>21</v>
      </c>
      <c r="F60">
        <v>-26266377.02</v>
      </c>
      <c r="G60" t="s">
        <v>17</v>
      </c>
      <c r="H60">
        <v>1</v>
      </c>
      <c r="I60">
        <v>0</v>
      </c>
      <c r="J60">
        <v>0</v>
      </c>
      <c r="K60">
        <v>-548059.93999999994</v>
      </c>
      <c r="L60">
        <v>1276971.2</v>
      </c>
      <c r="M60">
        <v>0</v>
      </c>
      <c r="N60">
        <v>0</v>
      </c>
      <c r="O60" s="4">
        <v>-2.3283064365386999E-10</v>
      </c>
      <c r="P60">
        <v>728911.26</v>
      </c>
    </row>
    <row r="61" spans="1:16" x14ac:dyDescent="0.25">
      <c r="A61" t="s">
        <v>32</v>
      </c>
      <c r="B61" t="s">
        <v>32</v>
      </c>
      <c r="D61" t="s">
        <v>86</v>
      </c>
      <c r="E61" t="s">
        <v>86</v>
      </c>
      <c r="F61">
        <v>1000000</v>
      </c>
      <c r="G61" t="s">
        <v>17</v>
      </c>
      <c r="H61">
        <v>93.111999999999995</v>
      </c>
      <c r="I61">
        <v>0</v>
      </c>
      <c r="J61">
        <v>-5613.19</v>
      </c>
      <c r="K61">
        <v>0</v>
      </c>
      <c r="L61">
        <v>-21744.57</v>
      </c>
      <c r="M61">
        <v>8171.6</v>
      </c>
      <c r="N61">
        <v>0</v>
      </c>
      <c r="O61">
        <v>0</v>
      </c>
      <c r="P61">
        <v>-19186.16</v>
      </c>
    </row>
    <row r="62" spans="1:16" x14ac:dyDescent="0.25">
      <c r="A62" t="s">
        <v>32</v>
      </c>
      <c r="B62" t="s">
        <v>32</v>
      </c>
      <c r="D62" t="s">
        <v>87</v>
      </c>
      <c r="E62" t="s">
        <v>87</v>
      </c>
      <c r="F62">
        <v>3209000</v>
      </c>
      <c r="G62" t="s">
        <v>16</v>
      </c>
      <c r="H62">
        <v>64.525000000000006</v>
      </c>
      <c r="I62">
        <v>21960</v>
      </c>
      <c r="J62">
        <v>-88370.74</v>
      </c>
      <c r="K62">
        <v>0</v>
      </c>
      <c r="L62">
        <v>0</v>
      </c>
      <c r="M62">
        <v>41638.82</v>
      </c>
      <c r="N62">
        <v>0</v>
      </c>
      <c r="O62">
        <v>0</v>
      </c>
      <c r="P62">
        <v>-24771.919999999998</v>
      </c>
    </row>
    <row r="63" spans="1:16" x14ac:dyDescent="0.25">
      <c r="A63" t="s">
        <v>32</v>
      </c>
      <c r="B63" t="s">
        <v>32</v>
      </c>
      <c r="D63" t="s">
        <v>88</v>
      </c>
      <c r="E63" t="s">
        <v>88</v>
      </c>
      <c r="F63">
        <v>8060000</v>
      </c>
      <c r="G63" t="s">
        <v>16</v>
      </c>
      <c r="H63">
        <v>71.149000000000001</v>
      </c>
      <c r="I63">
        <v>0</v>
      </c>
      <c r="J63">
        <v>-287419.59999999998</v>
      </c>
      <c r="K63">
        <v>0</v>
      </c>
      <c r="L63">
        <v>0</v>
      </c>
      <c r="M63">
        <v>87652.51</v>
      </c>
      <c r="N63">
        <v>0</v>
      </c>
      <c r="O63">
        <v>0</v>
      </c>
      <c r="P63">
        <v>-199767.09</v>
      </c>
    </row>
    <row r="64" spans="1:16" x14ac:dyDescent="0.25">
      <c r="A64" t="s">
        <v>32</v>
      </c>
      <c r="B64" t="s">
        <v>32</v>
      </c>
      <c r="D64" t="s">
        <v>89</v>
      </c>
      <c r="E64" t="s">
        <v>89</v>
      </c>
      <c r="F64">
        <v>5983000</v>
      </c>
      <c r="G64" t="s">
        <v>16</v>
      </c>
      <c r="H64">
        <v>93.094999999999999</v>
      </c>
      <c r="I64">
        <v>96615.25</v>
      </c>
      <c r="J64">
        <v>-226212.52</v>
      </c>
      <c r="K64">
        <v>0</v>
      </c>
      <c r="L64">
        <v>0</v>
      </c>
      <c r="M64">
        <v>115193.46</v>
      </c>
      <c r="N64">
        <v>0</v>
      </c>
      <c r="O64">
        <v>0</v>
      </c>
      <c r="P64">
        <v>-14403.81</v>
      </c>
    </row>
    <row r="65" spans="1:16" x14ac:dyDescent="0.25">
      <c r="A65" t="s">
        <v>32</v>
      </c>
      <c r="B65" t="s">
        <v>32</v>
      </c>
      <c r="D65" t="s">
        <v>90</v>
      </c>
      <c r="E65" t="s">
        <v>90</v>
      </c>
      <c r="F65">
        <v>0</v>
      </c>
      <c r="G65" t="s">
        <v>16</v>
      </c>
      <c r="H65">
        <v>0</v>
      </c>
      <c r="I65">
        <v>6397.5</v>
      </c>
      <c r="J65">
        <v>-5109.47</v>
      </c>
      <c r="K65">
        <v>0</v>
      </c>
      <c r="L65">
        <v>0</v>
      </c>
      <c r="M65">
        <v>1285.43</v>
      </c>
      <c r="N65">
        <v>0</v>
      </c>
      <c r="O65">
        <v>0</v>
      </c>
      <c r="P65">
        <v>2573.46</v>
      </c>
    </row>
    <row r="66" spans="1:16" x14ac:dyDescent="0.25">
      <c r="A66" t="s">
        <v>32</v>
      </c>
      <c r="B66" t="s">
        <v>32</v>
      </c>
      <c r="D66" t="s">
        <v>91</v>
      </c>
      <c r="E66" t="s">
        <v>91</v>
      </c>
      <c r="F66">
        <v>3660000</v>
      </c>
      <c r="G66" t="s">
        <v>16</v>
      </c>
      <c r="H66">
        <v>75.900999999999996</v>
      </c>
      <c r="I66">
        <v>0</v>
      </c>
      <c r="J66">
        <v>-83289.399999999994</v>
      </c>
      <c r="K66">
        <v>0</v>
      </c>
      <c r="L66">
        <v>0</v>
      </c>
      <c r="M66">
        <v>10522.5</v>
      </c>
      <c r="N66">
        <v>0</v>
      </c>
      <c r="O66">
        <v>0</v>
      </c>
      <c r="P66">
        <v>-72766.899999999994</v>
      </c>
    </row>
    <row r="67" spans="1:16" x14ac:dyDescent="0.25">
      <c r="A67" t="s">
        <v>32</v>
      </c>
      <c r="B67" t="s">
        <v>32</v>
      </c>
      <c r="D67" t="s">
        <v>92</v>
      </c>
      <c r="E67" t="s">
        <v>92</v>
      </c>
      <c r="F67">
        <v>1525000</v>
      </c>
      <c r="G67" t="s">
        <v>16</v>
      </c>
      <c r="H67">
        <v>83.994</v>
      </c>
      <c r="I67">
        <v>0</v>
      </c>
      <c r="J67">
        <v>-53085.25</v>
      </c>
      <c r="K67">
        <v>0</v>
      </c>
      <c r="L67">
        <v>0</v>
      </c>
      <c r="M67">
        <v>4659.72</v>
      </c>
      <c r="N67">
        <v>0</v>
      </c>
      <c r="O67">
        <v>0</v>
      </c>
      <c r="P67">
        <v>-48425.53</v>
      </c>
    </row>
    <row r="68" spans="1:16" x14ac:dyDescent="0.25">
      <c r="A68" t="s">
        <v>32</v>
      </c>
      <c r="B68" t="s">
        <v>32</v>
      </c>
      <c r="D68" t="s">
        <v>93</v>
      </c>
      <c r="E68" t="s">
        <v>93</v>
      </c>
      <c r="F68">
        <v>1525000</v>
      </c>
      <c r="G68" t="s">
        <v>16</v>
      </c>
      <c r="H68">
        <v>94.825000000000003</v>
      </c>
      <c r="I68">
        <v>0</v>
      </c>
      <c r="J68">
        <v>-50325</v>
      </c>
      <c r="K68">
        <v>0</v>
      </c>
      <c r="L68">
        <v>0</v>
      </c>
      <c r="M68">
        <v>5475.18</v>
      </c>
      <c r="N68">
        <v>0</v>
      </c>
      <c r="O68">
        <v>0</v>
      </c>
      <c r="P68">
        <v>-44849.82</v>
      </c>
    </row>
    <row r="69" spans="1:16" x14ac:dyDescent="0.25">
      <c r="A69" t="s">
        <v>32</v>
      </c>
      <c r="B69" t="s">
        <v>32</v>
      </c>
      <c r="D69" t="s">
        <v>94</v>
      </c>
      <c r="E69" t="s">
        <v>94</v>
      </c>
      <c r="F69">
        <v>915000</v>
      </c>
      <c r="G69" t="s">
        <v>16</v>
      </c>
      <c r="H69">
        <v>97.078000000000003</v>
      </c>
      <c r="I69">
        <v>-8097.75</v>
      </c>
      <c r="J69">
        <v>-9644.1</v>
      </c>
      <c r="K69">
        <v>0</v>
      </c>
      <c r="L69">
        <v>0</v>
      </c>
      <c r="M69">
        <v>12797.29</v>
      </c>
      <c r="N69">
        <v>0</v>
      </c>
      <c r="O69">
        <v>0</v>
      </c>
      <c r="P69">
        <v>-4944.5600000000004</v>
      </c>
    </row>
    <row r="70" spans="1:16" x14ac:dyDescent="0.25">
      <c r="A70" t="s">
        <v>32</v>
      </c>
      <c r="B70" t="s">
        <v>32</v>
      </c>
      <c r="D70" t="s">
        <v>95</v>
      </c>
      <c r="E70" t="s">
        <v>95</v>
      </c>
      <c r="F70">
        <v>2130000</v>
      </c>
      <c r="G70" t="s">
        <v>16</v>
      </c>
      <c r="H70">
        <v>97.054000000000002</v>
      </c>
      <c r="I70">
        <v>0</v>
      </c>
      <c r="J70">
        <v>-46497.9</v>
      </c>
      <c r="K70">
        <v>0</v>
      </c>
      <c r="L70">
        <v>0</v>
      </c>
      <c r="M70">
        <v>27667.81</v>
      </c>
      <c r="N70">
        <v>0</v>
      </c>
      <c r="O70">
        <v>0</v>
      </c>
      <c r="P70">
        <v>-18830.09</v>
      </c>
    </row>
    <row r="71" spans="1:16" x14ac:dyDescent="0.25">
      <c r="A71" t="s">
        <v>32</v>
      </c>
      <c r="B71" t="s">
        <v>32</v>
      </c>
      <c r="D71" t="s">
        <v>96</v>
      </c>
      <c r="E71" t="s">
        <v>96</v>
      </c>
      <c r="F71">
        <v>2745000</v>
      </c>
      <c r="G71" t="s">
        <v>16</v>
      </c>
      <c r="H71">
        <v>99.989000000000004</v>
      </c>
      <c r="I71">
        <v>0</v>
      </c>
      <c r="J71">
        <v>-51660.9</v>
      </c>
      <c r="K71">
        <v>0</v>
      </c>
      <c r="L71">
        <v>0</v>
      </c>
      <c r="M71">
        <v>36485.61</v>
      </c>
      <c r="N71">
        <v>0</v>
      </c>
      <c r="O71">
        <v>0</v>
      </c>
      <c r="P71">
        <v>-15175.29</v>
      </c>
    </row>
    <row r="72" spans="1:16" x14ac:dyDescent="0.25">
      <c r="A72" t="s">
        <v>32</v>
      </c>
      <c r="B72" t="s">
        <v>32</v>
      </c>
      <c r="D72" t="s">
        <v>97</v>
      </c>
      <c r="E72" t="s">
        <v>97</v>
      </c>
      <c r="F72">
        <v>5490000</v>
      </c>
      <c r="G72" t="s">
        <v>16</v>
      </c>
      <c r="H72">
        <v>95.858999999999995</v>
      </c>
      <c r="I72">
        <v>0</v>
      </c>
      <c r="J72">
        <v>-157837.5</v>
      </c>
      <c r="K72">
        <v>0</v>
      </c>
      <c r="L72">
        <v>0</v>
      </c>
      <c r="M72">
        <v>74629.69</v>
      </c>
      <c r="N72">
        <v>0</v>
      </c>
      <c r="O72">
        <v>0</v>
      </c>
      <c r="P72">
        <v>-83207.81</v>
      </c>
    </row>
    <row r="73" spans="1:16" x14ac:dyDescent="0.25">
      <c r="A73" t="s">
        <v>32</v>
      </c>
      <c r="B73" t="s">
        <v>32</v>
      </c>
      <c r="D73" t="s">
        <v>98</v>
      </c>
      <c r="E73" t="s">
        <v>98</v>
      </c>
      <c r="F73">
        <v>810000</v>
      </c>
      <c r="G73" t="s">
        <v>16</v>
      </c>
      <c r="H73">
        <v>92.876000000000005</v>
      </c>
      <c r="I73">
        <v>0</v>
      </c>
      <c r="J73">
        <v>-13502.7</v>
      </c>
      <c r="K73">
        <v>0</v>
      </c>
      <c r="L73">
        <v>0</v>
      </c>
      <c r="M73">
        <v>7340.63</v>
      </c>
      <c r="N73">
        <v>0</v>
      </c>
      <c r="O73">
        <v>0</v>
      </c>
      <c r="P73">
        <v>-6162.07</v>
      </c>
    </row>
    <row r="74" spans="1:16" x14ac:dyDescent="0.25">
      <c r="A74" t="s">
        <v>32</v>
      </c>
      <c r="B74" t="s">
        <v>32</v>
      </c>
      <c r="D74" t="s">
        <v>99</v>
      </c>
      <c r="E74" t="s">
        <v>99</v>
      </c>
      <c r="F74">
        <v>0</v>
      </c>
      <c r="G74" t="s">
        <v>16</v>
      </c>
      <c r="H74">
        <v>0</v>
      </c>
      <c r="I74">
        <v>31315</v>
      </c>
      <c r="J74">
        <v>-37219.800000000003</v>
      </c>
      <c r="K74">
        <v>0</v>
      </c>
      <c r="L74">
        <v>0</v>
      </c>
      <c r="M74">
        <v>11674.73</v>
      </c>
      <c r="N74">
        <v>0</v>
      </c>
      <c r="O74">
        <v>0</v>
      </c>
      <c r="P74">
        <v>5769.93</v>
      </c>
    </row>
    <row r="75" spans="1:16" x14ac:dyDescent="0.25">
      <c r="A75" t="s">
        <v>32</v>
      </c>
      <c r="B75" t="s">
        <v>32</v>
      </c>
      <c r="D75" t="s">
        <v>100</v>
      </c>
      <c r="E75" t="s">
        <v>100</v>
      </c>
      <c r="F75">
        <v>2940000</v>
      </c>
      <c r="G75" t="s">
        <v>16</v>
      </c>
      <c r="H75">
        <v>99.203000000000003</v>
      </c>
      <c r="I75">
        <v>0</v>
      </c>
      <c r="J75">
        <v>-100195.2</v>
      </c>
      <c r="K75">
        <v>0</v>
      </c>
      <c r="L75">
        <v>0</v>
      </c>
      <c r="M75">
        <v>47958.74</v>
      </c>
      <c r="N75">
        <v>0</v>
      </c>
      <c r="O75">
        <v>0</v>
      </c>
      <c r="P75">
        <v>-52236.46</v>
      </c>
    </row>
    <row r="76" spans="1:16" x14ac:dyDescent="0.25">
      <c r="A76" t="s">
        <v>32</v>
      </c>
      <c r="B76" t="s">
        <v>32</v>
      </c>
      <c r="D76" t="s">
        <v>101</v>
      </c>
      <c r="E76" t="s">
        <v>101</v>
      </c>
      <c r="F76">
        <v>1750000</v>
      </c>
      <c r="G76" t="s">
        <v>16</v>
      </c>
      <c r="H76">
        <v>102.053</v>
      </c>
      <c r="I76">
        <v>0</v>
      </c>
      <c r="J76">
        <v>35052.5</v>
      </c>
      <c r="K76">
        <v>0</v>
      </c>
      <c r="L76">
        <v>0</v>
      </c>
      <c r="M76">
        <v>68657.53</v>
      </c>
      <c r="N76">
        <v>0</v>
      </c>
      <c r="O76">
        <v>0</v>
      </c>
      <c r="P76">
        <v>103710.03</v>
      </c>
    </row>
    <row r="77" spans="1:16" x14ac:dyDescent="0.25">
      <c r="A77" t="s">
        <v>32</v>
      </c>
      <c r="B77" t="s">
        <v>32</v>
      </c>
      <c r="D77" t="s">
        <v>102</v>
      </c>
      <c r="E77" t="s">
        <v>102</v>
      </c>
      <c r="F77">
        <v>0</v>
      </c>
      <c r="G77" t="s">
        <v>16</v>
      </c>
      <c r="H77">
        <v>0</v>
      </c>
      <c r="I77">
        <v>0</v>
      </c>
      <c r="J77">
        <v>-25742.5</v>
      </c>
      <c r="K77">
        <v>0</v>
      </c>
      <c r="L77">
        <v>0</v>
      </c>
      <c r="M77">
        <v>-105388.89</v>
      </c>
      <c r="N77">
        <v>0</v>
      </c>
      <c r="O77">
        <v>0</v>
      </c>
      <c r="P77">
        <v>-131131.39000000001</v>
      </c>
    </row>
    <row r="78" spans="1:16" x14ac:dyDescent="0.25">
      <c r="A78" t="s">
        <v>32</v>
      </c>
      <c r="B78" t="s">
        <v>32</v>
      </c>
      <c r="D78" t="s">
        <v>103</v>
      </c>
      <c r="E78" t="s">
        <v>103</v>
      </c>
      <c r="F78">
        <v>0</v>
      </c>
      <c r="G78" t="s">
        <v>16</v>
      </c>
      <c r="H78">
        <v>0</v>
      </c>
      <c r="I78">
        <v>304145.34999999998</v>
      </c>
      <c r="J78">
        <v>-309603.67</v>
      </c>
      <c r="K78">
        <v>0</v>
      </c>
      <c r="L78">
        <v>0</v>
      </c>
      <c r="M78">
        <v>5475.16</v>
      </c>
      <c r="N78">
        <v>0</v>
      </c>
      <c r="O78">
        <v>0</v>
      </c>
      <c r="P78">
        <v>16.840000000011099</v>
      </c>
    </row>
    <row r="79" spans="1:16" x14ac:dyDescent="0.25">
      <c r="A79" t="s">
        <v>32</v>
      </c>
      <c r="B79" t="s">
        <v>32</v>
      </c>
      <c r="D79" t="s">
        <v>104</v>
      </c>
      <c r="E79" t="s">
        <v>104</v>
      </c>
      <c r="F79">
        <v>7460000</v>
      </c>
      <c r="G79" t="s">
        <v>16</v>
      </c>
      <c r="H79">
        <v>92.194999999999993</v>
      </c>
      <c r="I79">
        <v>0</v>
      </c>
      <c r="J79">
        <v>-193011.42</v>
      </c>
      <c r="K79">
        <v>0</v>
      </c>
      <c r="L79">
        <v>0</v>
      </c>
      <c r="M79">
        <v>114009.62</v>
      </c>
      <c r="N79">
        <v>0</v>
      </c>
      <c r="O79">
        <v>0</v>
      </c>
      <c r="P79">
        <v>-79001.8</v>
      </c>
    </row>
    <row r="80" spans="1:16" x14ac:dyDescent="0.25">
      <c r="A80" t="s">
        <v>32</v>
      </c>
      <c r="B80" t="s">
        <v>32</v>
      </c>
      <c r="D80" t="s">
        <v>105</v>
      </c>
      <c r="E80" t="s">
        <v>105</v>
      </c>
      <c r="F80">
        <v>3433000</v>
      </c>
      <c r="G80" t="s">
        <v>16</v>
      </c>
      <c r="H80">
        <v>99.551000000000002</v>
      </c>
      <c r="I80">
        <v>0</v>
      </c>
      <c r="J80">
        <v>-72539.289999999994</v>
      </c>
      <c r="K80">
        <v>0</v>
      </c>
      <c r="L80">
        <v>0</v>
      </c>
      <c r="M80">
        <v>56747.49</v>
      </c>
      <c r="N80">
        <v>0</v>
      </c>
      <c r="O80">
        <v>0</v>
      </c>
      <c r="P80">
        <v>-15791.8</v>
      </c>
    </row>
    <row r="81" spans="1:16" x14ac:dyDescent="0.25">
      <c r="A81" t="s">
        <v>32</v>
      </c>
      <c r="B81" t="s">
        <v>32</v>
      </c>
      <c r="D81" t="s">
        <v>106</v>
      </c>
      <c r="E81" t="s">
        <v>106</v>
      </c>
      <c r="F81">
        <v>1140000</v>
      </c>
      <c r="G81" t="s">
        <v>16</v>
      </c>
      <c r="H81">
        <v>104.53700000000001</v>
      </c>
      <c r="I81">
        <v>0</v>
      </c>
      <c r="J81">
        <v>-30654.6</v>
      </c>
      <c r="K81">
        <v>0</v>
      </c>
      <c r="L81">
        <v>0</v>
      </c>
      <c r="M81">
        <v>24106.240000000002</v>
      </c>
      <c r="N81">
        <v>0</v>
      </c>
      <c r="O81">
        <v>0</v>
      </c>
      <c r="P81">
        <v>-6548.36</v>
      </c>
    </row>
    <row r="82" spans="1:16" x14ac:dyDescent="0.25">
      <c r="A82" t="s">
        <v>32</v>
      </c>
      <c r="B82" t="s">
        <v>32</v>
      </c>
      <c r="D82" t="s">
        <v>107</v>
      </c>
      <c r="E82" t="s">
        <v>107</v>
      </c>
      <c r="F82">
        <v>0</v>
      </c>
      <c r="G82" t="s">
        <v>17</v>
      </c>
      <c r="H82">
        <v>0</v>
      </c>
      <c r="I82">
        <v>29119.35</v>
      </c>
      <c r="J82">
        <v>0</v>
      </c>
      <c r="K82">
        <v>60169.85</v>
      </c>
      <c r="L82">
        <v>0</v>
      </c>
      <c r="M82">
        <v>13117.07</v>
      </c>
      <c r="N82">
        <v>0</v>
      </c>
      <c r="O82">
        <v>0</v>
      </c>
      <c r="P82">
        <v>102406.27</v>
      </c>
    </row>
    <row r="83" spans="1:16" x14ac:dyDescent="0.25">
      <c r="A83" t="s">
        <v>32</v>
      </c>
      <c r="B83" t="s">
        <v>32</v>
      </c>
      <c r="D83" t="s">
        <v>108</v>
      </c>
      <c r="E83" t="s">
        <v>108</v>
      </c>
      <c r="F83">
        <v>0</v>
      </c>
      <c r="G83" t="s">
        <v>17</v>
      </c>
      <c r="H83">
        <v>0</v>
      </c>
      <c r="I83">
        <v>0</v>
      </c>
      <c r="J83">
        <v>0</v>
      </c>
      <c r="K83">
        <v>-17035.5</v>
      </c>
      <c r="L83">
        <v>0</v>
      </c>
      <c r="M83">
        <v>19721.14</v>
      </c>
      <c r="N83">
        <v>0</v>
      </c>
      <c r="O83">
        <v>0</v>
      </c>
      <c r="P83">
        <v>2685.64</v>
      </c>
    </row>
    <row r="84" spans="1:16" x14ac:dyDescent="0.25">
      <c r="A84" t="s">
        <v>32</v>
      </c>
      <c r="B84" t="s">
        <v>32</v>
      </c>
      <c r="D84" t="s">
        <v>109</v>
      </c>
      <c r="E84" t="s">
        <v>109</v>
      </c>
      <c r="F84">
        <v>305000</v>
      </c>
      <c r="G84" t="s">
        <v>17</v>
      </c>
      <c r="H84">
        <v>93.79</v>
      </c>
      <c r="I84">
        <v>0</v>
      </c>
      <c r="J84">
        <v>-21546.81</v>
      </c>
      <c r="K84">
        <v>0</v>
      </c>
      <c r="L84">
        <v>-8655.41</v>
      </c>
      <c r="M84">
        <v>1068.24</v>
      </c>
      <c r="N84">
        <v>0</v>
      </c>
      <c r="O84">
        <v>0</v>
      </c>
      <c r="P84">
        <v>-29133.98</v>
      </c>
    </row>
    <row r="85" spans="1:16" x14ac:dyDescent="0.25">
      <c r="A85" t="s">
        <v>32</v>
      </c>
      <c r="B85" t="s">
        <v>32</v>
      </c>
      <c r="D85" t="s">
        <v>110</v>
      </c>
      <c r="E85" t="s">
        <v>110</v>
      </c>
      <c r="F85">
        <v>0</v>
      </c>
      <c r="G85" t="s">
        <v>17</v>
      </c>
      <c r="H85">
        <v>0</v>
      </c>
      <c r="I85">
        <v>19346.599999999999</v>
      </c>
      <c r="J85">
        <v>-12387.54</v>
      </c>
      <c r="K85">
        <v>9939.06</v>
      </c>
      <c r="L85">
        <v>-1999.94</v>
      </c>
      <c r="M85">
        <v>3047.23</v>
      </c>
      <c r="N85">
        <v>0</v>
      </c>
      <c r="O85">
        <v>0</v>
      </c>
      <c r="P85">
        <v>17945.41</v>
      </c>
    </row>
    <row r="86" spans="1:16" x14ac:dyDescent="0.25">
      <c r="A86" t="s">
        <v>32</v>
      </c>
      <c r="B86" t="s">
        <v>32</v>
      </c>
      <c r="D86" t="s">
        <v>111</v>
      </c>
      <c r="E86" t="s">
        <v>111</v>
      </c>
      <c r="F86">
        <v>304000</v>
      </c>
      <c r="G86" t="s">
        <v>16</v>
      </c>
      <c r="H86">
        <v>93.067999999999998</v>
      </c>
      <c r="I86">
        <v>0</v>
      </c>
      <c r="J86">
        <v>-20939.52</v>
      </c>
      <c r="K86">
        <v>0</v>
      </c>
      <c r="L86">
        <v>0</v>
      </c>
      <c r="M86">
        <v>1165.33</v>
      </c>
      <c r="N86">
        <v>0</v>
      </c>
      <c r="O86">
        <v>0</v>
      </c>
      <c r="P86">
        <v>-19774.189999999999</v>
      </c>
    </row>
    <row r="87" spans="1:16" x14ac:dyDescent="0.25">
      <c r="A87" t="s">
        <v>32</v>
      </c>
      <c r="B87" t="s">
        <v>32</v>
      </c>
      <c r="D87" t="s">
        <v>112</v>
      </c>
      <c r="E87" t="s">
        <v>112</v>
      </c>
      <c r="F87">
        <v>1830000</v>
      </c>
      <c r="G87" t="s">
        <v>17</v>
      </c>
      <c r="H87">
        <v>92.635999999999996</v>
      </c>
      <c r="I87">
        <v>0</v>
      </c>
      <c r="J87">
        <v>-162222.82</v>
      </c>
      <c r="K87">
        <v>0</v>
      </c>
      <c r="L87">
        <v>-52145.06</v>
      </c>
      <c r="M87">
        <v>7719.24</v>
      </c>
      <c r="N87">
        <v>0</v>
      </c>
      <c r="O87">
        <v>0</v>
      </c>
      <c r="P87">
        <v>-206648.64</v>
      </c>
    </row>
    <row r="88" spans="1:16" x14ac:dyDescent="0.25">
      <c r="A88" t="s">
        <v>32</v>
      </c>
      <c r="B88" t="s">
        <v>32</v>
      </c>
      <c r="D88" t="s">
        <v>113</v>
      </c>
      <c r="E88" t="s">
        <v>113</v>
      </c>
      <c r="F88">
        <v>305000</v>
      </c>
      <c r="G88" t="s">
        <v>17</v>
      </c>
      <c r="H88">
        <v>97.283000000000001</v>
      </c>
      <c r="I88">
        <v>0</v>
      </c>
      <c r="J88">
        <v>-11654.27</v>
      </c>
      <c r="K88">
        <v>0</v>
      </c>
      <c r="L88">
        <v>-7118.21</v>
      </c>
      <c r="M88">
        <v>4965.8999999999996</v>
      </c>
      <c r="N88">
        <v>0</v>
      </c>
      <c r="O88">
        <v>0</v>
      </c>
      <c r="P88">
        <v>-13806.58</v>
      </c>
    </row>
    <row r="89" spans="1:16" x14ac:dyDescent="0.25">
      <c r="A89" t="s">
        <v>32</v>
      </c>
      <c r="B89" t="s">
        <v>32</v>
      </c>
      <c r="D89" t="s">
        <v>114</v>
      </c>
      <c r="E89" t="s">
        <v>114</v>
      </c>
      <c r="F89">
        <v>610000</v>
      </c>
      <c r="G89" t="s">
        <v>17</v>
      </c>
      <c r="H89">
        <v>101.828</v>
      </c>
      <c r="I89">
        <v>0</v>
      </c>
      <c r="J89">
        <v>-23933.119999999999</v>
      </c>
      <c r="K89">
        <v>0</v>
      </c>
      <c r="L89">
        <v>-14119.97</v>
      </c>
      <c r="M89">
        <v>9547.82</v>
      </c>
      <c r="N89">
        <v>0</v>
      </c>
      <c r="O89">
        <v>0</v>
      </c>
      <c r="P89">
        <v>-28505.27</v>
      </c>
    </row>
    <row r="90" spans="1:16" x14ac:dyDescent="0.25">
      <c r="A90" t="s">
        <v>32</v>
      </c>
      <c r="B90" t="s">
        <v>32</v>
      </c>
      <c r="D90" t="s">
        <v>115</v>
      </c>
      <c r="E90" t="s">
        <v>115</v>
      </c>
      <c r="F90">
        <v>305000</v>
      </c>
      <c r="G90" t="s">
        <v>17</v>
      </c>
      <c r="H90">
        <v>96.173000000000002</v>
      </c>
      <c r="I90">
        <v>0</v>
      </c>
      <c r="J90">
        <v>-11880.97</v>
      </c>
      <c r="K90">
        <v>0</v>
      </c>
      <c r="L90">
        <v>-7073.61</v>
      </c>
      <c r="M90">
        <v>5269.93</v>
      </c>
      <c r="N90">
        <v>0</v>
      </c>
      <c r="O90">
        <v>0</v>
      </c>
      <c r="P90">
        <v>-13684.65</v>
      </c>
    </row>
    <row r="91" spans="1:16" x14ac:dyDescent="0.25">
      <c r="A91" t="s">
        <v>32</v>
      </c>
      <c r="B91" t="s">
        <v>32</v>
      </c>
      <c r="D91" t="s">
        <v>116</v>
      </c>
      <c r="E91" t="s">
        <v>116</v>
      </c>
      <c r="F91">
        <v>3660000</v>
      </c>
      <c r="G91" t="s">
        <v>17</v>
      </c>
      <c r="H91">
        <v>100.358</v>
      </c>
      <c r="I91">
        <v>0</v>
      </c>
      <c r="J91">
        <v>-172662.71</v>
      </c>
      <c r="K91">
        <v>0</v>
      </c>
      <c r="L91">
        <v>-84586.17</v>
      </c>
      <c r="M91">
        <v>62681.11</v>
      </c>
      <c r="N91">
        <v>0</v>
      </c>
      <c r="O91">
        <v>0</v>
      </c>
      <c r="P91">
        <v>-194567.77</v>
      </c>
    </row>
    <row r="92" spans="1:16" x14ac:dyDescent="0.25">
      <c r="A92" t="s">
        <v>32</v>
      </c>
      <c r="B92" t="s">
        <v>32</v>
      </c>
      <c r="D92" t="s">
        <v>22</v>
      </c>
      <c r="E92" t="s">
        <v>22</v>
      </c>
      <c r="F92">
        <v>3000000</v>
      </c>
      <c r="G92" t="s">
        <v>16</v>
      </c>
      <c r="H92">
        <v>100.833</v>
      </c>
      <c r="I92">
        <v>0</v>
      </c>
      <c r="J92">
        <v>-54120</v>
      </c>
      <c r="K92">
        <v>0</v>
      </c>
      <c r="L92">
        <v>0</v>
      </c>
      <c r="M92">
        <v>49843.77</v>
      </c>
      <c r="N92">
        <v>0</v>
      </c>
      <c r="O92">
        <v>0</v>
      </c>
      <c r="P92">
        <v>-4276.2299999999996</v>
      </c>
    </row>
    <row r="93" spans="1:16" x14ac:dyDescent="0.25">
      <c r="A93" t="s">
        <v>32</v>
      </c>
      <c r="B93" t="s">
        <v>32</v>
      </c>
      <c r="D93" t="s">
        <v>30</v>
      </c>
      <c r="E93" t="s">
        <v>30</v>
      </c>
      <c r="F93">
        <v>0</v>
      </c>
      <c r="G93" t="s">
        <v>16</v>
      </c>
      <c r="H93">
        <v>0</v>
      </c>
      <c r="I93">
        <v>35712</v>
      </c>
      <c r="J93">
        <v>-36048</v>
      </c>
      <c r="K93">
        <v>0</v>
      </c>
      <c r="L93">
        <v>0</v>
      </c>
      <c r="M93">
        <v>4666.67</v>
      </c>
      <c r="N93">
        <v>0</v>
      </c>
      <c r="O93">
        <v>0</v>
      </c>
      <c r="P93">
        <v>4330.67</v>
      </c>
    </row>
    <row r="94" spans="1:16" x14ac:dyDescent="0.25">
      <c r="A94" t="s">
        <v>32</v>
      </c>
      <c r="B94" t="s">
        <v>32</v>
      </c>
      <c r="D94" t="s">
        <v>117</v>
      </c>
      <c r="E94" t="s">
        <v>117</v>
      </c>
      <c r="F94">
        <v>1200000</v>
      </c>
      <c r="G94" t="s">
        <v>16</v>
      </c>
      <c r="H94">
        <v>92.67</v>
      </c>
      <c r="I94">
        <v>0</v>
      </c>
      <c r="J94">
        <v>-32400</v>
      </c>
      <c r="K94">
        <v>0</v>
      </c>
      <c r="L94">
        <v>0</v>
      </c>
      <c r="M94">
        <v>13775</v>
      </c>
      <c r="N94">
        <v>0</v>
      </c>
      <c r="O94">
        <v>0</v>
      </c>
      <c r="P94">
        <v>-18625</v>
      </c>
    </row>
    <row r="95" spans="1:16" x14ac:dyDescent="0.25">
      <c r="A95" t="s">
        <v>32</v>
      </c>
      <c r="B95" t="s">
        <v>32</v>
      </c>
      <c r="D95" t="s">
        <v>118</v>
      </c>
      <c r="E95" t="s">
        <v>118</v>
      </c>
      <c r="F95">
        <v>1830000</v>
      </c>
      <c r="G95" t="s">
        <v>16</v>
      </c>
      <c r="H95">
        <v>102.86499999999999</v>
      </c>
      <c r="I95">
        <v>0</v>
      </c>
      <c r="J95">
        <v>-44322.6</v>
      </c>
      <c r="K95">
        <v>0</v>
      </c>
      <c r="L95">
        <v>0</v>
      </c>
      <c r="M95">
        <v>26157.99</v>
      </c>
      <c r="N95">
        <v>0</v>
      </c>
      <c r="O95">
        <v>0</v>
      </c>
      <c r="P95">
        <v>-18164.61</v>
      </c>
    </row>
    <row r="96" spans="1:16" x14ac:dyDescent="0.25">
      <c r="A96" t="s">
        <v>32</v>
      </c>
      <c r="B96" t="s">
        <v>32</v>
      </c>
      <c r="D96" t="s">
        <v>23</v>
      </c>
      <c r="E96" t="s">
        <v>23</v>
      </c>
      <c r="F96">
        <v>800000</v>
      </c>
      <c r="G96" t="s">
        <v>16</v>
      </c>
      <c r="H96">
        <v>103.07</v>
      </c>
      <c r="I96">
        <v>0</v>
      </c>
      <c r="J96">
        <v>-14848</v>
      </c>
      <c r="K96">
        <v>0</v>
      </c>
      <c r="L96">
        <v>0</v>
      </c>
      <c r="M96">
        <v>14741.66</v>
      </c>
      <c r="N96">
        <v>0</v>
      </c>
      <c r="O96">
        <v>0</v>
      </c>
      <c r="P96">
        <v>-106.34</v>
      </c>
    </row>
    <row r="97" spans="1:16" x14ac:dyDescent="0.25">
      <c r="A97" t="s">
        <v>32</v>
      </c>
      <c r="B97" t="s">
        <v>32</v>
      </c>
      <c r="D97" t="s">
        <v>119</v>
      </c>
      <c r="E97" t="s">
        <v>119</v>
      </c>
      <c r="F97">
        <v>1000000</v>
      </c>
      <c r="G97" t="s">
        <v>16</v>
      </c>
      <c r="H97">
        <v>105.223</v>
      </c>
      <c r="I97">
        <v>0</v>
      </c>
      <c r="J97">
        <v>-27940</v>
      </c>
      <c r="K97">
        <v>0</v>
      </c>
      <c r="L97">
        <v>0</v>
      </c>
      <c r="M97">
        <v>18729.16</v>
      </c>
      <c r="N97">
        <v>0</v>
      </c>
      <c r="O97">
        <v>0</v>
      </c>
      <c r="P97">
        <v>-9210.84</v>
      </c>
    </row>
    <row r="98" spans="1:16" x14ac:dyDescent="0.25">
      <c r="A98" t="s">
        <v>32</v>
      </c>
      <c r="B98" t="s">
        <v>32</v>
      </c>
      <c r="D98" t="s">
        <v>120</v>
      </c>
      <c r="E98" t="s">
        <v>121</v>
      </c>
      <c r="F98">
        <v>8850000</v>
      </c>
      <c r="G98" t="s">
        <v>16</v>
      </c>
      <c r="H98">
        <v>99.171875</v>
      </c>
      <c r="I98">
        <v>0</v>
      </c>
      <c r="J98">
        <v>-172851.56</v>
      </c>
      <c r="K98">
        <v>0</v>
      </c>
      <c r="L98">
        <v>0</v>
      </c>
      <c r="M98">
        <v>89355.68</v>
      </c>
      <c r="N98">
        <v>0</v>
      </c>
      <c r="O98">
        <v>0</v>
      </c>
      <c r="P98">
        <v>-83495.88</v>
      </c>
    </row>
    <row r="99" spans="1:16" x14ac:dyDescent="0.25">
      <c r="A99" t="s">
        <v>32</v>
      </c>
      <c r="B99" t="s">
        <v>32</v>
      </c>
      <c r="D99" t="s">
        <v>122</v>
      </c>
      <c r="E99" t="s">
        <v>122</v>
      </c>
      <c r="F99">
        <v>1220000</v>
      </c>
      <c r="G99" t="s">
        <v>16</v>
      </c>
      <c r="H99">
        <v>104.56699999999999</v>
      </c>
      <c r="I99">
        <v>0</v>
      </c>
      <c r="J99">
        <v>1256.5999999999999</v>
      </c>
      <c r="K99">
        <v>0</v>
      </c>
      <c r="L99">
        <v>0</v>
      </c>
      <c r="M99">
        <v>25060.84</v>
      </c>
      <c r="N99">
        <v>0</v>
      </c>
      <c r="O99">
        <v>0</v>
      </c>
      <c r="P99">
        <v>26317.439999999999</v>
      </c>
    </row>
    <row r="100" spans="1:16" x14ac:dyDescent="0.25">
      <c r="A100" t="s">
        <v>32</v>
      </c>
      <c r="B100" t="s">
        <v>32</v>
      </c>
      <c r="D100" t="s">
        <v>123</v>
      </c>
      <c r="E100" t="s">
        <v>123</v>
      </c>
      <c r="F100">
        <v>610000</v>
      </c>
      <c r="G100" t="s">
        <v>16</v>
      </c>
      <c r="H100">
        <v>104.65600000000001</v>
      </c>
      <c r="I100">
        <v>0</v>
      </c>
      <c r="J100">
        <v>1586</v>
      </c>
      <c r="K100">
        <v>0</v>
      </c>
      <c r="L100">
        <v>0</v>
      </c>
      <c r="M100">
        <v>12530.42</v>
      </c>
      <c r="N100">
        <v>0</v>
      </c>
      <c r="O100">
        <v>0</v>
      </c>
      <c r="P100">
        <v>14116.42</v>
      </c>
    </row>
    <row r="101" spans="1:16" x14ac:dyDescent="0.25">
      <c r="A101" t="s">
        <v>32</v>
      </c>
      <c r="B101" t="s">
        <v>32</v>
      </c>
      <c r="D101" t="s">
        <v>124</v>
      </c>
      <c r="E101" t="s">
        <v>124</v>
      </c>
      <c r="F101">
        <v>2440000</v>
      </c>
      <c r="G101" t="s">
        <v>17</v>
      </c>
      <c r="H101">
        <v>100.068</v>
      </c>
      <c r="I101">
        <v>0</v>
      </c>
      <c r="J101">
        <v>-23425.25</v>
      </c>
      <c r="K101">
        <v>0</v>
      </c>
      <c r="L101">
        <v>-57925.919999999998</v>
      </c>
      <c r="M101">
        <v>47171.81</v>
      </c>
      <c r="N101">
        <v>0</v>
      </c>
      <c r="O101">
        <v>0</v>
      </c>
      <c r="P101">
        <v>-34179.360000000001</v>
      </c>
    </row>
    <row r="102" spans="1:16" x14ac:dyDescent="0.25">
      <c r="A102" t="s">
        <v>32</v>
      </c>
      <c r="B102" t="s">
        <v>32</v>
      </c>
      <c r="D102" t="s">
        <v>125</v>
      </c>
      <c r="E102" t="s">
        <v>125</v>
      </c>
      <c r="F102">
        <v>0</v>
      </c>
      <c r="G102" t="s">
        <v>16</v>
      </c>
      <c r="H102">
        <v>0</v>
      </c>
      <c r="I102">
        <v>16271.09</v>
      </c>
      <c r="J102">
        <v>137859.38</v>
      </c>
      <c r="K102">
        <v>0</v>
      </c>
      <c r="L102">
        <v>0</v>
      </c>
      <c r="M102">
        <v>0</v>
      </c>
      <c r="N102">
        <v>0</v>
      </c>
      <c r="O102">
        <v>-349.45999999999202</v>
      </c>
      <c r="P102">
        <v>153781.01</v>
      </c>
    </row>
    <row r="103" spans="1:16" x14ac:dyDescent="0.25">
      <c r="A103" t="s">
        <v>32</v>
      </c>
      <c r="B103" t="s">
        <v>32</v>
      </c>
      <c r="D103" t="s">
        <v>28</v>
      </c>
      <c r="E103" t="s">
        <v>28</v>
      </c>
      <c r="F103">
        <v>173</v>
      </c>
      <c r="G103" t="s">
        <v>16</v>
      </c>
      <c r="H103">
        <v>110.15625</v>
      </c>
      <c r="I103">
        <v>0</v>
      </c>
      <c r="J103">
        <v>-540339.46</v>
      </c>
      <c r="K103">
        <v>0</v>
      </c>
      <c r="L103">
        <v>0</v>
      </c>
      <c r="M103">
        <v>0</v>
      </c>
      <c r="N103">
        <v>0</v>
      </c>
      <c r="O103">
        <v>-349.45999999996297</v>
      </c>
      <c r="P103">
        <v>-540688.92000000004</v>
      </c>
    </row>
    <row r="104" spans="1:16" x14ac:dyDescent="0.25">
      <c r="A104" t="s">
        <v>32</v>
      </c>
      <c r="B104" t="s">
        <v>32</v>
      </c>
      <c r="D104" t="s">
        <v>16</v>
      </c>
      <c r="E104" t="s">
        <v>24</v>
      </c>
      <c r="F104">
        <v>31332869.219999999</v>
      </c>
      <c r="G104" t="s">
        <v>16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-1112.3900000000001</v>
      </c>
      <c r="P104">
        <v>-1112.3900000000001</v>
      </c>
    </row>
    <row r="105" spans="1:16" x14ac:dyDescent="0.25">
      <c r="A105" t="s">
        <v>32</v>
      </c>
      <c r="B105" t="s">
        <v>32</v>
      </c>
      <c r="D105" t="s">
        <v>126</v>
      </c>
      <c r="E105" t="s">
        <v>126</v>
      </c>
      <c r="F105">
        <v>0</v>
      </c>
      <c r="G105" t="s">
        <v>16</v>
      </c>
      <c r="H105">
        <v>0</v>
      </c>
      <c r="I105">
        <v>49504</v>
      </c>
      <c r="J105">
        <v>-56291.94</v>
      </c>
      <c r="K105">
        <v>0</v>
      </c>
      <c r="L105">
        <v>0</v>
      </c>
      <c r="M105">
        <v>15684.17</v>
      </c>
      <c r="N105">
        <v>0</v>
      </c>
      <c r="O105">
        <v>0</v>
      </c>
      <c r="P105">
        <v>8896.23</v>
      </c>
    </row>
    <row r="106" spans="1:16" x14ac:dyDescent="0.25">
      <c r="A106" t="s">
        <v>32</v>
      </c>
      <c r="B106" t="s">
        <v>32</v>
      </c>
      <c r="D106" t="s">
        <v>127</v>
      </c>
      <c r="E106" t="s">
        <v>127</v>
      </c>
      <c r="F106">
        <v>1780028.8171000001</v>
      </c>
      <c r="G106" t="s">
        <v>16</v>
      </c>
      <c r="H106">
        <v>108.35899999999999</v>
      </c>
      <c r="I106">
        <v>-994.83</v>
      </c>
      <c r="J106">
        <v>-14644.87</v>
      </c>
      <c r="K106">
        <v>0</v>
      </c>
      <c r="L106">
        <v>0</v>
      </c>
      <c r="M106">
        <v>38501.03</v>
      </c>
      <c r="N106">
        <v>0</v>
      </c>
      <c r="O106">
        <v>0</v>
      </c>
      <c r="P106">
        <v>22861.33</v>
      </c>
    </row>
    <row r="107" spans="1:16" x14ac:dyDescent="0.25">
      <c r="A107" t="s">
        <v>32</v>
      </c>
      <c r="B107" t="s">
        <v>32</v>
      </c>
      <c r="D107" t="s">
        <v>128</v>
      </c>
      <c r="E107" t="s">
        <v>128</v>
      </c>
      <c r="F107">
        <v>1805661</v>
      </c>
      <c r="G107" t="s">
        <v>16</v>
      </c>
      <c r="H107">
        <v>105.477</v>
      </c>
      <c r="I107">
        <v>-832.99</v>
      </c>
      <c r="J107">
        <v>4733.75</v>
      </c>
      <c r="K107">
        <v>0</v>
      </c>
      <c r="L107">
        <v>0</v>
      </c>
      <c r="M107">
        <v>37249.160000000003</v>
      </c>
      <c r="N107">
        <v>0</v>
      </c>
      <c r="O107">
        <v>0</v>
      </c>
      <c r="P107">
        <v>41149.919999999998</v>
      </c>
    </row>
    <row r="108" spans="1:16" x14ac:dyDescent="0.25">
      <c r="A108" t="s">
        <v>32</v>
      </c>
      <c r="B108" t="s">
        <v>32</v>
      </c>
      <c r="D108" t="s">
        <v>33</v>
      </c>
      <c r="E108" t="s">
        <v>33</v>
      </c>
      <c r="F108">
        <v>780000</v>
      </c>
      <c r="G108" t="s">
        <v>16</v>
      </c>
      <c r="H108">
        <v>96.054000000000002</v>
      </c>
      <c r="I108">
        <v>0</v>
      </c>
      <c r="J108">
        <v>-20709</v>
      </c>
      <c r="K108">
        <v>0</v>
      </c>
      <c r="L108">
        <v>0</v>
      </c>
      <c r="M108">
        <v>6066.67</v>
      </c>
      <c r="N108">
        <v>0</v>
      </c>
      <c r="O108">
        <v>0</v>
      </c>
      <c r="P108">
        <v>-14642.33</v>
      </c>
    </row>
    <row r="109" spans="1:16" x14ac:dyDescent="0.25">
      <c r="A109" t="s">
        <v>32</v>
      </c>
      <c r="B109" t="s">
        <v>32</v>
      </c>
      <c r="D109" t="s">
        <v>34</v>
      </c>
      <c r="E109" t="s">
        <v>34</v>
      </c>
      <c r="F109">
        <v>975000</v>
      </c>
      <c r="G109" t="s">
        <v>16</v>
      </c>
      <c r="H109">
        <v>91.441000000000003</v>
      </c>
      <c r="I109">
        <v>0</v>
      </c>
      <c r="J109">
        <v>-39380.25</v>
      </c>
      <c r="K109">
        <v>0</v>
      </c>
      <c r="L109">
        <v>0</v>
      </c>
      <c r="M109">
        <v>3612.92</v>
      </c>
      <c r="N109">
        <v>0</v>
      </c>
      <c r="O109">
        <v>0</v>
      </c>
      <c r="P109">
        <v>-35767.33</v>
      </c>
    </row>
    <row r="110" spans="1:16" x14ac:dyDescent="0.25">
      <c r="A110" t="s">
        <v>32</v>
      </c>
      <c r="B110" t="s">
        <v>32</v>
      </c>
      <c r="D110" t="s">
        <v>35</v>
      </c>
      <c r="E110" t="s">
        <v>35</v>
      </c>
      <c r="F110">
        <v>2340000</v>
      </c>
      <c r="G110" t="s">
        <v>16</v>
      </c>
      <c r="H110">
        <v>94.230999999999995</v>
      </c>
      <c r="I110">
        <v>0</v>
      </c>
      <c r="J110">
        <v>-109547.1</v>
      </c>
      <c r="K110">
        <v>0</v>
      </c>
      <c r="L110">
        <v>0</v>
      </c>
      <c r="M110">
        <v>11440</v>
      </c>
      <c r="N110">
        <v>0</v>
      </c>
      <c r="O110">
        <v>0</v>
      </c>
      <c r="P110">
        <v>-98107.1</v>
      </c>
    </row>
    <row r="111" spans="1:16" x14ac:dyDescent="0.25">
      <c r="A111" t="s">
        <v>32</v>
      </c>
      <c r="B111" t="s">
        <v>32</v>
      </c>
      <c r="D111" t="s">
        <v>36</v>
      </c>
      <c r="E111" t="s">
        <v>36</v>
      </c>
      <c r="F111">
        <v>600000</v>
      </c>
      <c r="G111" t="s">
        <v>17</v>
      </c>
      <c r="H111">
        <v>102.889</v>
      </c>
      <c r="I111">
        <v>0</v>
      </c>
      <c r="J111">
        <v>-10571.72</v>
      </c>
      <c r="K111">
        <v>0</v>
      </c>
      <c r="L111">
        <v>-14540.63</v>
      </c>
      <c r="M111">
        <v>11382.31</v>
      </c>
      <c r="N111">
        <v>0</v>
      </c>
      <c r="O111">
        <v>0</v>
      </c>
      <c r="P111">
        <v>-13730.04</v>
      </c>
    </row>
    <row r="112" spans="1:16" x14ac:dyDescent="0.25">
      <c r="A112" t="s">
        <v>32</v>
      </c>
      <c r="B112" t="s">
        <v>32</v>
      </c>
      <c r="D112" t="s">
        <v>37</v>
      </c>
      <c r="E112" t="s">
        <v>37</v>
      </c>
      <c r="F112">
        <v>468000</v>
      </c>
      <c r="G112" t="s">
        <v>16</v>
      </c>
      <c r="H112">
        <v>101.2</v>
      </c>
      <c r="I112">
        <v>585</v>
      </c>
      <c r="J112">
        <v>5616</v>
      </c>
      <c r="K112">
        <v>0</v>
      </c>
      <c r="L112">
        <v>0</v>
      </c>
      <c r="M112">
        <v>7078.5</v>
      </c>
      <c r="N112">
        <v>0</v>
      </c>
      <c r="O112">
        <v>0</v>
      </c>
      <c r="P112">
        <v>13279.5</v>
      </c>
    </row>
    <row r="113" spans="1:16" x14ac:dyDescent="0.25">
      <c r="A113" t="s">
        <v>32</v>
      </c>
      <c r="B113" t="s">
        <v>32</v>
      </c>
      <c r="D113" t="s">
        <v>38</v>
      </c>
      <c r="E113" t="s">
        <v>38</v>
      </c>
      <c r="F113">
        <v>1560000</v>
      </c>
      <c r="G113" t="s">
        <v>16</v>
      </c>
      <c r="H113">
        <v>100.96299999999999</v>
      </c>
      <c r="I113">
        <v>0</v>
      </c>
      <c r="J113">
        <v>15022.8</v>
      </c>
      <c r="K113">
        <v>0</v>
      </c>
      <c r="L113">
        <v>0</v>
      </c>
      <c r="M113">
        <v>24667.5</v>
      </c>
      <c r="N113">
        <v>0</v>
      </c>
      <c r="O113">
        <v>0</v>
      </c>
      <c r="P113">
        <v>39690.300000000003</v>
      </c>
    </row>
    <row r="114" spans="1:16" x14ac:dyDescent="0.25">
      <c r="A114" t="s">
        <v>32</v>
      </c>
      <c r="B114" t="s">
        <v>32</v>
      </c>
      <c r="D114" t="s">
        <v>39</v>
      </c>
      <c r="E114" t="s">
        <v>39</v>
      </c>
      <c r="F114">
        <v>1000000</v>
      </c>
      <c r="G114" t="s">
        <v>17</v>
      </c>
      <c r="H114">
        <v>102.637</v>
      </c>
      <c r="I114">
        <v>0</v>
      </c>
      <c r="J114">
        <v>-36898.379999999997</v>
      </c>
      <c r="K114">
        <v>0</v>
      </c>
      <c r="L114">
        <v>-25051</v>
      </c>
      <c r="M114">
        <v>19961.849999999999</v>
      </c>
      <c r="N114">
        <v>0</v>
      </c>
      <c r="O114">
        <v>0</v>
      </c>
      <c r="P114">
        <v>-41987.53</v>
      </c>
    </row>
    <row r="115" spans="1:16" x14ac:dyDescent="0.25">
      <c r="A115" t="s">
        <v>32</v>
      </c>
      <c r="B115" t="s">
        <v>32</v>
      </c>
      <c r="D115" t="s">
        <v>40</v>
      </c>
      <c r="E115" t="s">
        <v>40</v>
      </c>
      <c r="F115">
        <v>1500000</v>
      </c>
      <c r="G115" t="s">
        <v>17</v>
      </c>
      <c r="H115">
        <v>106.108</v>
      </c>
      <c r="I115">
        <v>0</v>
      </c>
      <c r="J115">
        <v>-83780.69</v>
      </c>
      <c r="K115">
        <v>0</v>
      </c>
      <c r="L115">
        <v>-41141.79</v>
      </c>
      <c r="M115">
        <v>20531.080000000002</v>
      </c>
      <c r="N115">
        <v>0</v>
      </c>
      <c r="O115">
        <v>0</v>
      </c>
      <c r="P115">
        <v>-104391.4</v>
      </c>
    </row>
    <row r="116" spans="1:16" x14ac:dyDescent="0.25">
      <c r="A116" t="s">
        <v>32</v>
      </c>
      <c r="B116" t="s">
        <v>32</v>
      </c>
      <c r="D116" t="s">
        <v>41</v>
      </c>
      <c r="E116" t="s">
        <v>41</v>
      </c>
      <c r="F116">
        <v>585000</v>
      </c>
      <c r="G116" t="s">
        <v>17</v>
      </c>
      <c r="H116">
        <v>95.498000000000005</v>
      </c>
      <c r="I116">
        <v>0</v>
      </c>
      <c r="J116">
        <v>-18995.37</v>
      </c>
      <c r="K116">
        <v>0</v>
      </c>
      <c r="L116">
        <v>-13472.37</v>
      </c>
      <c r="M116">
        <v>5145.37</v>
      </c>
      <c r="N116">
        <v>0</v>
      </c>
      <c r="O116">
        <v>0</v>
      </c>
      <c r="P116">
        <v>-27322.37</v>
      </c>
    </row>
    <row r="117" spans="1:16" x14ac:dyDescent="0.25">
      <c r="A117" t="s">
        <v>32</v>
      </c>
      <c r="B117" t="s">
        <v>32</v>
      </c>
      <c r="D117" t="s">
        <v>42</v>
      </c>
      <c r="E117" t="s">
        <v>42</v>
      </c>
      <c r="F117">
        <v>585000</v>
      </c>
      <c r="G117" t="s">
        <v>17</v>
      </c>
      <c r="H117">
        <v>93.581999999999994</v>
      </c>
      <c r="I117">
        <v>0</v>
      </c>
      <c r="J117">
        <v>-17112.490000000002</v>
      </c>
      <c r="K117">
        <v>0</v>
      </c>
      <c r="L117">
        <v>-13338.74</v>
      </c>
      <c r="M117">
        <v>6288.78</v>
      </c>
      <c r="N117">
        <v>0</v>
      </c>
      <c r="O117">
        <v>0</v>
      </c>
      <c r="P117">
        <v>-24162.45</v>
      </c>
    </row>
    <row r="118" spans="1:16" x14ac:dyDescent="0.25">
      <c r="A118" t="s">
        <v>32</v>
      </c>
      <c r="B118" t="s">
        <v>32</v>
      </c>
      <c r="D118" t="s">
        <v>43</v>
      </c>
      <c r="E118" t="s">
        <v>43</v>
      </c>
      <c r="F118">
        <v>2050000</v>
      </c>
      <c r="G118" t="s">
        <v>16</v>
      </c>
      <c r="H118">
        <v>94.96</v>
      </c>
      <c r="I118">
        <v>0</v>
      </c>
      <c r="J118">
        <v>-87986</v>
      </c>
      <c r="K118">
        <v>0</v>
      </c>
      <c r="L118">
        <v>0</v>
      </c>
      <c r="M118">
        <v>31211.25</v>
      </c>
      <c r="N118">
        <v>0</v>
      </c>
      <c r="O118">
        <v>0</v>
      </c>
      <c r="P118">
        <v>-56774.75</v>
      </c>
    </row>
    <row r="119" spans="1:16" x14ac:dyDescent="0.25">
      <c r="A119" t="s">
        <v>32</v>
      </c>
      <c r="B119" t="s">
        <v>32</v>
      </c>
      <c r="D119" t="s">
        <v>44</v>
      </c>
      <c r="E119" t="s">
        <v>44</v>
      </c>
      <c r="F119">
        <v>1600000</v>
      </c>
      <c r="G119" t="s">
        <v>17</v>
      </c>
      <c r="H119">
        <v>93.83</v>
      </c>
      <c r="I119">
        <v>0</v>
      </c>
      <c r="J119">
        <v>-113695.82</v>
      </c>
      <c r="K119">
        <v>0</v>
      </c>
      <c r="L119">
        <v>-60480</v>
      </c>
      <c r="M119">
        <v>11453.37</v>
      </c>
      <c r="N119">
        <v>0</v>
      </c>
      <c r="O119">
        <v>0</v>
      </c>
      <c r="P119">
        <v>-162722.45000000001</v>
      </c>
    </row>
    <row r="120" spans="1:16" x14ac:dyDescent="0.25">
      <c r="A120" t="s">
        <v>32</v>
      </c>
      <c r="B120" t="s">
        <v>32</v>
      </c>
      <c r="D120" t="s">
        <v>45</v>
      </c>
      <c r="E120" t="s">
        <v>45</v>
      </c>
      <c r="F120">
        <v>0</v>
      </c>
      <c r="G120" t="s">
        <v>16</v>
      </c>
      <c r="H120">
        <v>0</v>
      </c>
      <c r="I120">
        <v>29250</v>
      </c>
      <c r="J120">
        <v>-20599.8</v>
      </c>
      <c r="K120">
        <v>0</v>
      </c>
      <c r="L120">
        <v>0</v>
      </c>
      <c r="M120">
        <v>6231.87</v>
      </c>
      <c r="N120">
        <v>0</v>
      </c>
      <c r="O120">
        <v>0</v>
      </c>
      <c r="P120">
        <v>14882.07</v>
      </c>
    </row>
    <row r="121" spans="1:16" x14ac:dyDescent="0.25">
      <c r="A121" t="s">
        <v>32</v>
      </c>
      <c r="B121" t="s">
        <v>32</v>
      </c>
      <c r="D121" t="s">
        <v>46</v>
      </c>
      <c r="E121" t="s">
        <v>46</v>
      </c>
      <c r="F121">
        <v>0</v>
      </c>
      <c r="G121" t="s">
        <v>16</v>
      </c>
      <c r="H121">
        <v>0</v>
      </c>
      <c r="I121">
        <v>16662.5</v>
      </c>
      <c r="J121">
        <v>-11059.6</v>
      </c>
      <c r="K121">
        <v>0</v>
      </c>
      <c r="L121">
        <v>0</v>
      </c>
      <c r="M121">
        <v>3726.66</v>
      </c>
      <c r="N121">
        <v>0</v>
      </c>
      <c r="O121">
        <v>0</v>
      </c>
      <c r="P121">
        <v>9329.56</v>
      </c>
    </row>
    <row r="122" spans="1:16" x14ac:dyDescent="0.25">
      <c r="A122" t="s">
        <v>32</v>
      </c>
      <c r="B122" t="s">
        <v>32</v>
      </c>
      <c r="D122" t="s">
        <v>47</v>
      </c>
      <c r="E122" t="s">
        <v>47</v>
      </c>
      <c r="F122">
        <v>1170000</v>
      </c>
      <c r="G122" t="s">
        <v>16</v>
      </c>
      <c r="H122">
        <v>97.397999999999996</v>
      </c>
      <c r="I122">
        <v>-345.15</v>
      </c>
      <c r="J122">
        <v>-17526.599999999999</v>
      </c>
      <c r="K122">
        <v>0</v>
      </c>
      <c r="L122">
        <v>0</v>
      </c>
      <c r="M122">
        <v>17249.37</v>
      </c>
      <c r="N122">
        <v>0</v>
      </c>
      <c r="O122">
        <v>0</v>
      </c>
      <c r="P122">
        <v>-622.37999999999704</v>
      </c>
    </row>
    <row r="123" spans="1:16" x14ac:dyDescent="0.25">
      <c r="A123" t="s">
        <v>32</v>
      </c>
      <c r="B123" t="s">
        <v>32</v>
      </c>
      <c r="D123" t="s">
        <v>48</v>
      </c>
      <c r="E123" t="s">
        <v>48</v>
      </c>
      <c r="F123">
        <v>273000</v>
      </c>
      <c r="G123" t="s">
        <v>16</v>
      </c>
      <c r="H123">
        <v>97.277000000000001</v>
      </c>
      <c r="I123">
        <v>0</v>
      </c>
      <c r="J123">
        <v>-4419.87</v>
      </c>
      <c r="K123">
        <v>0</v>
      </c>
      <c r="L123">
        <v>0</v>
      </c>
      <c r="M123">
        <v>1848.44</v>
      </c>
      <c r="N123">
        <v>0</v>
      </c>
      <c r="O123">
        <v>0</v>
      </c>
      <c r="P123">
        <v>-2571.4299999999998</v>
      </c>
    </row>
    <row r="124" spans="1:16" x14ac:dyDescent="0.25">
      <c r="A124" t="s">
        <v>32</v>
      </c>
      <c r="B124" t="s">
        <v>32</v>
      </c>
      <c r="D124" t="s">
        <v>18</v>
      </c>
      <c r="E124" t="s">
        <v>18</v>
      </c>
      <c r="F124">
        <v>1170000</v>
      </c>
      <c r="G124" t="s">
        <v>16</v>
      </c>
      <c r="H124">
        <v>101.41500000000001</v>
      </c>
      <c r="I124">
        <v>0</v>
      </c>
      <c r="J124">
        <v>-19784.7</v>
      </c>
      <c r="K124">
        <v>0</v>
      </c>
      <c r="L124">
        <v>0</v>
      </c>
      <c r="M124">
        <v>18732.18</v>
      </c>
      <c r="N124">
        <v>0</v>
      </c>
      <c r="O124">
        <v>0</v>
      </c>
      <c r="P124">
        <v>-1052.52</v>
      </c>
    </row>
    <row r="125" spans="1:16" x14ac:dyDescent="0.25">
      <c r="A125" t="s">
        <v>32</v>
      </c>
      <c r="B125" t="s">
        <v>32</v>
      </c>
      <c r="D125" t="s">
        <v>19</v>
      </c>
      <c r="E125" t="s">
        <v>19</v>
      </c>
      <c r="F125">
        <v>4290000</v>
      </c>
      <c r="G125" t="s">
        <v>16</v>
      </c>
      <c r="H125">
        <v>96.988</v>
      </c>
      <c r="I125">
        <v>0</v>
      </c>
      <c r="J125">
        <v>-96981.3</v>
      </c>
      <c r="K125">
        <v>0</v>
      </c>
      <c r="L125">
        <v>0</v>
      </c>
      <c r="M125">
        <v>71394.39</v>
      </c>
      <c r="N125">
        <v>0</v>
      </c>
      <c r="O125">
        <v>0</v>
      </c>
      <c r="P125">
        <v>-25586.91</v>
      </c>
    </row>
    <row r="126" spans="1:16" x14ac:dyDescent="0.25">
      <c r="A126" t="s">
        <v>32</v>
      </c>
      <c r="B126" t="s">
        <v>32</v>
      </c>
      <c r="D126" t="s">
        <v>49</v>
      </c>
      <c r="E126" t="s">
        <v>49</v>
      </c>
      <c r="F126">
        <v>1200000</v>
      </c>
      <c r="G126" t="s">
        <v>17</v>
      </c>
      <c r="H126">
        <v>100.399</v>
      </c>
      <c r="I126">
        <v>0</v>
      </c>
      <c r="J126">
        <v>-38696.65</v>
      </c>
      <c r="K126">
        <v>0</v>
      </c>
      <c r="L126">
        <v>-28002.6</v>
      </c>
      <c r="M126">
        <v>20193.18</v>
      </c>
      <c r="N126">
        <v>0</v>
      </c>
      <c r="O126">
        <v>0</v>
      </c>
      <c r="P126">
        <v>-46506.07</v>
      </c>
    </row>
    <row r="127" spans="1:16" x14ac:dyDescent="0.25">
      <c r="A127" t="s">
        <v>32</v>
      </c>
      <c r="B127" t="s">
        <v>32</v>
      </c>
      <c r="D127" t="s">
        <v>50</v>
      </c>
      <c r="E127" t="s">
        <v>50</v>
      </c>
      <c r="F127">
        <v>1950000</v>
      </c>
      <c r="G127" t="s">
        <v>16</v>
      </c>
      <c r="H127">
        <v>103.462</v>
      </c>
      <c r="I127">
        <v>0</v>
      </c>
      <c r="J127">
        <v>-60138</v>
      </c>
      <c r="K127">
        <v>0</v>
      </c>
      <c r="L127">
        <v>0</v>
      </c>
      <c r="M127">
        <v>29830.13</v>
      </c>
      <c r="N127">
        <v>0</v>
      </c>
      <c r="O127">
        <v>0</v>
      </c>
      <c r="P127">
        <v>-30307.87</v>
      </c>
    </row>
    <row r="128" spans="1:16" x14ac:dyDescent="0.25">
      <c r="A128" t="s">
        <v>32</v>
      </c>
      <c r="B128" t="s">
        <v>32</v>
      </c>
      <c r="D128" t="s">
        <v>51</v>
      </c>
      <c r="E128" t="s">
        <v>51</v>
      </c>
      <c r="F128">
        <v>1560000</v>
      </c>
      <c r="G128" t="s">
        <v>16</v>
      </c>
      <c r="H128">
        <v>103.989</v>
      </c>
      <c r="I128">
        <v>0</v>
      </c>
      <c r="J128">
        <v>-57595.199999999997</v>
      </c>
      <c r="K128">
        <v>0</v>
      </c>
      <c r="L128">
        <v>0</v>
      </c>
      <c r="M128">
        <v>25560.6</v>
      </c>
      <c r="N128">
        <v>0</v>
      </c>
      <c r="O128">
        <v>0</v>
      </c>
      <c r="P128">
        <v>-32034.6</v>
      </c>
    </row>
    <row r="129" spans="1:16" x14ac:dyDescent="0.25">
      <c r="A129" t="s">
        <v>32</v>
      </c>
      <c r="B129" t="s">
        <v>32</v>
      </c>
      <c r="D129" t="s">
        <v>52</v>
      </c>
      <c r="E129" t="s">
        <v>52</v>
      </c>
      <c r="F129">
        <v>0</v>
      </c>
      <c r="G129" t="s">
        <v>16</v>
      </c>
      <c r="H129">
        <v>0</v>
      </c>
      <c r="I129">
        <v>-964.99</v>
      </c>
      <c r="J129">
        <v>7756.93</v>
      </c>
      <c r="K129">
        <v>0</v>
      </c>
      <c r="L129">
        <v>0</v>
      </c>
      <c r="M129">
        <v>-20312.5</v>
      </c>
      <c r="N129">
        <v>0</v>
      </c>
      <c r="O129">
        <v>0</v>
      </c>
      <c r="P129">
        <v>-13520.56</v>
      </c>
    </row>
    <row r="130" spans="1:16" x14ac:dyDescent="0.25">
      <c r="A130" t="s">
        <v>32</v>
      </c>
      <c r="B130" t="s">
        <v>32</v>
      </c>
      <c r="D130" t="s">
        <v>53</v>
      </c>
      <c r="E130" t="s">
        <v>53</v>
      </c>
      <c r="F130">
        <v>9750000</v>
      </c>
      <c r="G130" t="s">
        <v>16</v>
      </c>
      <c r="H130">
        <v>1.9822356759638999</v>
      </c>
      <c r="I130">
        <v>0</v>
      </c>
      <c r="J130">
        <v>-47895.9</v>
      </c>
      <c r="K130">
        <v>0</v>
      </c>
      <c r="L130">
        <v>0</v>
      </c>
      <c r="M130">
        <v>-2437.5</v>
      </c>
      <c r="N130">
        <v>0</v>
      </c>
      <c r="O130">
        <v>0</v>
      </c>
      <c r="P130">
        <v>-50333.4</v>
      </c>
    </row>
    <row r="131" spans="1:16" x14ac:dyDescent="0.25">
      <c r="A131" t="s">
        <v>32</v>
      </c>
      <c r="B131" t="s">
        <v>32</v>
      </c>
      <c r="D131" t="s">
        <v>54</v>
      </c>
      <c r="E131" t="s">
        <v>54</v>
      </c>
      <c r="F131">
        <v>0</v>
      </c>
      <c r="G131" t="s">
        <v>16</v>
      </c>
      <c r="H131">
        <v>0</v>
      </c>
      <c r="I131">
        <v>43801.13</v>
      </c>
      <c r="J131">
        <v>-23531.759999999998</v>
      </c>
      <c r="K131">
        <v>0</v>
      </c>
      <c r="L131">
        <v>0</v>
      </c>
      <c r="M131">
        <v>-19662.509999999998</v>
      </c>
      <c r="N131">
        <v>0</v>
      </c>
      <c r="O131">
        <v>0</v>
      </c>
      <c r="P131">
        <v>606.85999999999899</v>
      </c>
    </row>
    <row r="132" spans="1:16" x14ac:dyDescent="0.25">
      <c r="A132" t="s">
        <v>32</v>
      </c>
      <c r="B132" t="s">
        <v>32</v>
      </c>
      <c r="D132" t="s">
        <v>55</v>
      </c>
      <c r="E132" t="s">
        <v>55</v>
      </c>
      <c r="F132">
        <v>5850000</v>
      </c>
      <c r="G132" t="s">
        <v>16</v>
      </c>
      <c r="H132">
        <v>5.6603389129683999</v>
      </c>
      <c r="I132">
        <v>0</v>
      </c>
      <c r="J132">
        <v>-8912.4500000000007</v>
      </c>
      <c r="K132">
        <v>0</v>
      </c>
      <c r="L132">
        <v>0</v>
      </c>
      <c r="M132">
        <v>-1462.5</v>
      </c>
      <c r="N132">
        <v>0</v>
      </c>
      <c r="O132">
        <v>0</v>
      </c>
      <c r="P132">
        <v>-10374.950000000001</v>
      </c>
    </row>
    <row r="133" spans="1:16" x14ac:dyDescent="0.25">
      <c r="A133" t="s">
        <v>32</v>
      </c>
      <c r="B133" t="s">
        <v>32</v>
      </c>
      <c r="D133" t="s">
        <v>56</v>
      </c>
      <c r="E133" t="s">
        <v>56</v>
      </c>
      <c r="F133">
        <v>0</v>
      </c>
      <c r="G133" t="s">
        <v>16</v>
      </c>
      <c r="H133">
        <v>0</v>
      </c>
      <c r="I133">
        <v>11056.68</v>
      </c>
      <c r="J133">
        <v>0</v>
      </c>
      <c r="K133">
        <v>0</v>
      </c>
      <c r="L133">
        <v>0</v>
      </c>
      <c r="M133">
        <v>216.67</v>
      </c>
      <c r="N133">
        <v>0</v>
      </c>
      <c r="O133">
        <v>0</v>
      </c>
      <c r="P133">
        <v>11273.35</v>
      </c>
    </row>
    <row r="134" spans="1:16" x14ac:dyDescent="0.25">
      <c r="A134" t="s">
        <v>32</v>
      </c>
      <c r="B134" t="s">
        <v>32</v>
      </c>
      <c r="D134" t="s">
        <v>57</v>
      </c>
      <c r="E134" t="s">
        <v>57</v>
      </c>
      <c r="F134">
        <v>0</v>
      </c>
      <c r="G134" t="s">
        <v>16</v>
      </c>
      <c r="H134">
        <v>0</v>
      </c>
      <c r="I134">
        <v>33735.39</v>
      </c>
      <c r="J134">
        <v>-93077.39</v>
      </c>
      <c r="K134">
        <v>0</v>
      </c>
      <c r="L134">
        <v>0</v>
      </c>
      <c r="M134">
        <v>-12241.68</v>
      </c>
      <c r="N134">
        <v>0</v>
      </c>
      <c r="O134">
        <v>0</v>
      </c>
      <c r="P134">
        <v>-71583.679999999993</v>
      </c>
    </row>
    <row r="135" spans="1:16" x14ac:dyDescent="0.25">
      <c r="A135" t="s">
        <v>32</v>
      </c>
      <c r="B135" t="s">
        <v>32</v>
      </c>
      <c r="D135" t="s">
        <v>20</v>
      </c>
      <c r="E135" t="s">
        <v>20</v>
      </c>
      <c r="F135">
        <v>0</v>
      </c>
      <c r="G135" t="s">
        <v>16</v>
      </c>
      <c r="H135">
        <v>-4.5130999999999997</v>
      </c>
      <c r="I135">
        <v>-9380.25</v>
      </c>
      <c r="J135">
        <v>68168.600000000006</v>
      </c>
      <c r="K135">
        <v>0</v>
      </c>
      <c r="L135">
        <v>0</v>
      </c>
      <c r="M135">
        <v>12333.75</v>
      </c>
      <c r="N135">
        <v>0</v>
      </c>
      <c r="O135">
        <v>0</v>
      </c>
      <c r="P135">
        <v>71122.100000000006</v>
      </c>
    </row>
    <row r="136" spans="1:16" x14ac:dyDescent="0.25">
      <c r="A136" t="s">
        <v>32</v>
      </c>
      <c r="B136" t="s">
        <v>32</v>
      </c>
      <c r="D136" t="s">
        <v>31</v>
      </c>
      <c r="E136" t="s">
        <v>31</v>
      </c>
      <c r="F136">
        <v>-3900000</v>
      </c>
      <c r="G136" t="s">
        <v>16</v>
      </c>
      <c r="H136">
        <v>0</v>
      </c>
      <c r="I136">
        <v>0</v>
      </c>
      <c r="J136">
        <v>7363.2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7363.2</v>
      </c>
    </row>
    <row r="137" spans="1:16" x14ac:dyDescent="0.25">
      <c r="A137" t="s">
        <v>32</v>
      </c>
      <c r="B137" t="s">
        <v>32</v>
      </c>
      <c r="D137" t="s">
        <v>59</v>
      </c>
      <c r="E137" t="s">
        <v>59</v>
      </c>
      <c r="F137">
        <v>0</v>
      </c>
      <c r="G137" t="s">
        <v>16</v>
      </c>
      <c r="H137">
        <v>0</v>
      </c>
      <c r="I137">
        <v>63375</v>
      </c>
      <c r="J137">
        <v>-34905</v>
      </c>
      <c r="K137">
        <v>0</v>
      </c>
      <c r="L137">
        <v>0</v>
      </c>
      <c r="M137">
        <v>7041.67</v>
      </c>
      <c r="N137">
        <v>0</v>
      </c>
      <c r="O137">
        <v>0</v>
      </c>
      <c r="P137">
        <v>35511.67</v>
      </c>
    </row>
    <row r="138" spans="1:16" x14ac:dyDescent="0.25">
      <c r="A138" t="s">
        <v>32</v>
      </c>
      <c r="B138" t="s">
        <v>32</v>
      </c>
      <c r="D138" t="s">
        <v>60</v>
      </c>
      <c r="E138" t="s">
        <v>60</v>
      </c>
      <c r="F138">
        <v>0</v>
      </c>
      <c r="G138" t="s">
        <v>16</v>
      </c>
      <c r="H138">
        <v>0</v>
      </c>
      <c r="I138">
        <v>-6837.58</v>
      </c>
      <c r="J138">
        <v>13945.09</v>
      </c>
      <c r="K138">
        <v>0</v>
      </c>
      <c r="L138">
        <v>0</v>
      </c>
      <c r="M138">
        <v>-35587.51</v>
      </c>
      <c r="N138">
        <v>0</v>
      </c>
      <c r="O138">
        <v>0</v>
      </c>
      <c r="P138">
        <v>-28480</v>
      </c>
    </row>
    <row r="139" spans="1:16" x14ac:dyDescent="0.25">
      <c r="A139" t="s">
        <v>32</v>
      </c>
      <c r="B139" t="s">
        <v>32</v>
      </c>
      <c r="D139" t="s">
        <v>61</v>
      </c>
      <c r="E139" t="s">
        <v>61</v>
      </c>
      <c r="F139">
        <v>19500000</v>
      </c>
      <c r="G139" t="s">
        <v>16</v>
      </c>
      <c r="H139">
        <v>-1.5208204113287001</v>
      </c>
      <c r="I139">
        <v>0</v>
      </c>
      <c r="J139">
        <v>24791.1</v>
      </c>
      <c r="K139">
        <v>0</v>
      </c>
      <c r="L139">
        <v>0</v>
      </c>
      <c r="M139">
        <v>-3791.66</v>
      </c>
      <c r="N139">
        <v>0</v>
      </c>
      <c r="O139">
        <v>0</v>
      </c>
      <c r="P139">
        <v>20999.439999999999</v>
      </c>
    </row>
    <row r="140" spans="1:16" x14ac:dyDescent="0.25">
      <c r="A140" t="s">
        <v>32</v>
      </c>
      <c r="B140" t="s">
        <v>32</v>
      </c>
      <c r="D140" t="s">
        <v>62</v>
      </c>
      <c r="E140" t="s">
        <v>62</v>
      </c>
      <c r="F140">
        <v>0</v>
      </c>
      <c r="G140" t="s">
        <v>17</v>
      </c>
      <c r="H140">
        <v>0</v>
      </c>
      <c r="I140">
        <v>378913.39</v>
      </c>
      <c r="J140">
        <v>172536.14</v>
      </c>
      <c r="K140">
        <v>50858.42</v>
      </c>
      <c r="L140">
        <v>-9634.16</v>
      </c>
      <c r="M140">
        <v>-195436.88</v>
      </c>
      <c r="N140">
        <v>0</v>
      </c>
      <c r="O140" s="4">
        <v>1.7462298274040199E-10</v>
      </c>
      <c r="P140">
        <v>397236.91</v>
      </c>
    </row>
    <row r="141" spans="1:16" x14ac:dyDescent="0.25">
      <c r="A141" t="s">
        <v>32</v>
      </c>
      <c r="B141" t="s">
        <v>32</v>
      </c>
      <c r="D141" t="s">
        <v>63</v>
      </c>
      <c r="E141" t="s">
        <v>63</v>
      </c>
      <c r="F141">
        <v>-3901000</v>
      </c>
      <c r="G141" t="s">
        <v>17</v>
      </c>
      <c r="H141">
        <v>0</v>
      </c>
      <c r="I141">
        <v>0</v>
      </c>
      <c r="J141">
        <v>-35109.81</v>
      </c>
      <c r="K141">
        <v>0</v>
      </c>
      <c r="L141">
        <v>-1064.01</v>
      </c>
      <c r="M141">
        <v>4365.7700000000004</v>
      </c>
      <c r="N141">
        <v>0</v>
      </c>
      <c r="O141">
        <v>0</v>
      </c>
      <c r="P141">
        <v>-31808.05</v>
      </c>
    </row>
    <row r="142" spans="1:16" x14ac:dyDescent="0.25">
      <c r="A142" t="s">
        <v>32</v>
      </c>
      <c r="B142" t="s">
        <v>32</v>
      </c>
      <c r="D142" t="s">
        <v>64</v>
      </c>
      <c r="E142" t="s">
        <v>64</v>
      </c>
      <c r="F142">
        <v>0</v>
      </c>
      <c r="G142" t="s">
        <v>17</v>
      </c>
      <c r="H142">
        <v>0</v>
      </c>
      <c r="I142">
        <v>45687.82</v>
      </c>
      <c r="J142">
        <v>48838.83</v>
      </c>
      <c r="K142">
        <v>-194.51</v>
      </c>
      <c r="L142">
        <v>53.23</v>
      </c>
      <c r="M142">
        <v>-20391.86</v>
      </c>
      <c r="N142">
        <v>0</v>
      </c>
      <c r="O142">
        <v>0</v>
      </c>
      <c r="P142">
        <v>73993.509999999995</v>
      </c>
    </row>
    <row r="143" spans="1:16" x14ac:dyDescent="0.25">
      <c r="A143" t="s">
        <v>32</v>
      </c>
      <c r="B143" t="s">
        <v>32</v>
      </c>
      <c r="D143" t="s">
        <v>65</v>
      </c>
      <c r="E143" t="s">
        <v>65</v>
      </c>
      <c r="F143">
        <v>0</v>
      </c>
      <c r="G143" t="s">
        <v>17</v>
      </c>
      <c r="H143">
        <v>0</v>
      </c>
      <c r="I143">
        <v>-91306.28</v>
      </c>
      <c r="J143">
        <v>-45244.76</v>
      </c>
      <c r="K143">
        <v>4865.24</v>
      </c>
      <c r="L143">
        <v>5422.01</v>
      </c>
      <c r="M143">
        <v>84572.1</v>
      </c>
      <c r="N143">
        <v>0</v>
      </c>
      <c r="O143">
        <v>0</v>
      </c>
      <c r="P143">
        <v>-41691.69</v>
      </c>
    </row>
    <row r="144" spans="1:16" x14ac:dyDescent="0.25">
      <c r="A144" t="s">
        <v>32</v>
      </c>
      <c r="B144" t="s">
        <v>32</v>
      </c>
      <c r="D144" t="s">
        <v>66</v>
      </c>
      <c r="E144" t="s">
        <v>66</v>
      </c>
      <c r="F144">
        <v>-54600000</v>
      </c>
      <c r="G144" t="s">
        <v>17</v>
      </c>
      <c r="H144">
        <v>0</v>
      </c>
      <c r="I144">
        <v>0</v>
      </c>
      <c r="J144">
        <v>-93240.5</v>
      </c>
      <c r="K144">
        <v>0</v>
      </c>
      <c r="L144">
        <v>-3178.89</v>
      </c>
      <c r="M144">
        <v>12220.99</v>
      </c>
      <c r="N144">
        <v>0</v>
      </c>
      <c r="O144">
        <v>0</v>
      </c>
      <c r="P144">
        <v>-84198.399999999994</v>
      </c>
    </row>
    <row r="145" spans="1:16" x14ac:dyDescent="0.25">
      <c r="A145" t="s">
        <v>32</v>
      </c>
      <c r="B145" t="s">
        <v>32</v>
      </c>
      <c r="D145" t="s">
        <v>67</v>
      </c>
      <c r="E145" t="s">
        <v>67</v>
      </c>
      <c r="F145">
        <v>214000</v>
      </c>
      <c r="G145" t="s">
        <v>17</v>
      </c>
      <c r="H145">
        <v>96.817999999999998</v>
      </c>
      <c r="I145">
        <v>0</v>
      </c>
      <c r="J145">
        <v>-3447.54</v>
      </c>
      <c r="K145">
        <v>0</v>
      </c>
      <c r="L145">
        <v>-4985.09</v>
      </c>
      <c r="M145">
        <v>2590.88</v>
      </c>
      <c r="N145">
        <v>0</v>
      </c>
      <c r="O145">
        <v>0</v>
      </c>
      <c r="P145">
        <v>-5841.75</v>
      </c>
    </row>
    <row r="146" spans="1:16" x14ac:dyDescent="0.25">
      <c r="A146" t="s">
        <v>32</v>
      </c>
      <c r="B146" t="s">
        <v>32</v>
      </c>
      <c r="D146" t="s">
        <v>68</v>
      </c>
      <c r="E146" t="s">
        <v>68</v>
      </c>
      <c r="F146">
        <v>585000</v>
      </c>
      <c r="G146" t="s">
        <v>17</v>
      </c>
      <c r="H146">
        <v>94.463999999999999</v>
      </c>
      <c r="I146">
        <v>0</v>
      </c>
      <c r="J146">
        <v>-9830.89</v>
      </c>
      <c r="K146">
        <v>0</v>
      </c>
      <c r="L146">
        <v>-13729.17</v>
      </c>
      <c r="M146">
        <v>7946.32</v>
      </c>
      <c r="N146">
        <v>0</v>
      </c>
      <c r="O146">
        <v>0</v>
      </c>
      <c r="P146">
        <v>-15613.74</v>
      </c>
    </row>
    <row r="147" spans="1:16" x14ac:dyDescent="0.25">
      <c r="A147" t="s">
        <v>32</v>
      </c>
      <c r="B147" t="s">
        <v>32</v>
      </c>
      <c r="D147" t="s">
        <v>69</v>
      </c>
      <c r="E147" t="s">
        <v>69</v>
      </c>
      <c r="F147">
        <v>390000</v>
      </c>
      <c r="G147" t="s">
        <v>17</v>
      </c>
      <c r="H147">
        <v>91.475999999999999</v>
      </c>
      <c r="I147">
        <v>0</v>
      </c>
      <c r="J147">
        <v>-10156.5</v>
      </c>
      <c r="K147">
        <v>0</v>
      </c>
      <c r="L147">
        <v>-9112.56</v>
      </c>
      <c r="M147">
        <v>6254.93</v>
      </c>
      <c r="N147">
        <v>0</v>
      </c>
      <c r="O147">
        <v>0</v>
      </c>
      <c r="P147">
        <v>-13014.13</v>
      </c>
    </row>
    <row r="148" spans="1:16" x14ac:dyDescent="0.25">
      <c r="A148" t="s">
        <v>32</v>
      </c>
      <c r="B148" t="s">
        <v>32</v>
      </c>
      <c r="D148" t="s">
        <v>70</v>
      </c>
      <c r="E148" t="s">
        <v>70</v>
      </c>
      <c r="F148">
        <v>390000</v>
      </c>
      <c r="G148" t="s">
        <v>17</v>
      </c>
      <c r="H148">
        <v>94.465000000000003</v>
      </c>
      <c r="I148">
        <v>0</v>
      </c>
      <c r="J148">
        <v>-11397.77</v>
      </c>
      <c r="K148">
        <v>0</v>
      </c>
      <c r="L148">
        <v>-9071.06</v>
      </c>
      <c r="M148">
        <v>6033.26</v>
      </c>
      <c r="N148">
        <v>0</v>
      </c>
      <c r="O148">
        <v>0</v>
      </c>
      <c r="P148">
        <v>-14435.57</v>
      </c>
    </row>
    <row r="149" spans="1:16" x14ac:dyDescent="0.25">
      <c r="A149" t="s">
        <v>32</v>
      </c>
      <c r="B149" t="s">
        <v>32</v>
      </c>
      <c r="D149" t="s">
        <v>71</v>
      </c>
      <c r="E149" t="s">
        <v>71</v>
      </c>
      <c r="F149">
        <v>195000</v>
      </c>
      <c r="G149" t="s">
        <v>17</v>
      </c>
      <c r="H149">
        <v>95.22</v>
      </c>
      <c r="I149">
        <v>0</v>
      </c>
      <c r="J149">
        <v>-3424.89</v>
      </c>
      <c r="K149">
        <v>0</v>
      </c>
      <c r="L149">
        <v>-4543.32</v>
      </c>
      <c r="M149">
        <v>3410.1</v>
      </c>
      <c r="N149">
        <v>0</v>
      </c>
      <c r="O149">
        <v>0</v>
      </c>
      <c r="P149">
        <v>-4558.1099999999997</v>
      </c>
    </row>
    <row r="150" spans="1:16" x14ac:dyDescent="0.25">
      <c r="A150" t="s">
        <v>32</v>
      </c>
      <c r="B150" t="s">
        <v>32</v>
      </c>
      <c r="D150" t="s">
        <v>72</v>
      </c>
      <c r="E150" t="s">
        <v>72</v>
      </c>
      <c r="F150">
        <v>900000</v>
      </c>
      <c r="G150" t="s">
        <v>16</v>
      </c>
      <c r="H150">
        <v>102.27800000000001</v>
      </c>
      <c r="I150">
        <v>3978</v>
      </c>
      <c r="J150">
        <v>-21251.4</v>
      </c>
      <c r="K150">
        <v>0</v>
      </c>
      <c r="L150">
        <v>0</v>
      </c>
      <c r="M150">
        <v>17856.25</v>
      </c>
      <c r="N150">
        <v>0</v>
      </c>
      <c r="O150">
        <v>0</v>
      </c>
      <c r="P150">
        <v>582.849999999999</v>
      </c>
    </row>
    <row r="151" spans="1:16" x14ac:dyDescent="0.25">
      <c r="A151" t="s">
        <v>32</v>
      </c>
      <c r="B151" t="s">
        <v>32</v>
      </c>
      <c r="D151" t="s">
        <v>73</v>
      </c>
      <c r="E151" t="s">
        <v>73</v>
      </c>
      <c r="F151">
        <v>2584000</v>
      </c>
      <c r="G151" t="s">
        <v>16</v>
      </c>
      <c r="H151">
        <v>104.866</v>
      </c>
      <c r="I151">
        <v>0</v>
      </c>
      <c r="J151">
        <v>-50052.08</v>
      </c>
      <c r="K151">
        <v>0</v>
      </c>
      <c r="L151">
        <v>0</v>
      </c>
      <c r="M151">
        <v>49957.33</v>
      </c>
      <c r="N151">
        <v>0</v>
      </c>
      <c r="O151">
        <v>0</v>
      </c>
      <c r="P151">
        <v>-94.750000000001805</v>
      </c>
    </row>
    <row r="152" spans="1:16" x14ac:dyDescent="0.25">
      <c r="A152" t="s">
        <v>32</v>
      </c>
      <c r="B152" t="s">
        <v>32</v>
      </c>
      <c r="D152" t="s">
        <v>74</v>
      </c>
      <c r="E152" t="s">
        <v>74</v>
      </c>
      <c r="F152">
        <v>898000</v>
      </c>
      <c r="G152" t="s">
        <v>16</v>
      </c>
      <c r="H152">
        <v>103.233</v>
      </c>
      <c r="I152">
        <v>0</v>
      </c>
      <c r="J152">
        <v>-26374.26</v>
      </c>
      <c r="K152">
        <v>0</v>
      </c>
      <c r="L152">
        <v>0</v>
      </c>
      <c r="M152">
        <v>18175.150000000001</v>
      </c>
      <c r="N152">
        <v>0</v>
      </c>
      <c r="O152">
        <v>0</v>
      </c>
      <c r="P152">
        <v>-8199.11</v>
      </c>
    </row>
    <row r="153" spans="1:16" x14ac:dyDescent="0.25">
      <c r="A153" t="s">
        <v>32</v>
      </c>
      <c r="B153" t="s">
        <v>32</v>
      </c>
      <c r="D153" t="s">
        <v>29</v>
      </c>
      <c r="E153" t="s">
        <v>29</v>
      </c>
      <c r="F153">
        <v>0</v>
      </c>
      <c r="G153" t="s">
        <v>16</v>
      </c>
      <c r="H153">
        <v>0</v>
      </c>
      <c r="I153">
        <v>45495.75</v>
      </c>
      <c r="J153">
        <v>-46782.75</v>
      </c>
      <c r="K153">
        <v>0</v>
      </c>
      <c r="L153">
        <v>0</v>
      </c>
      <c r="M153">
        <v>9100</v>
      </c>
      <c r="N153">
        <v>0</v>
      </c>
      <c r="O153">
        <v>0</v>
      </c>
      <c r="P153">
        <v>7813</v>
      </c>
    </row>
    <row r="154" spans="1:16" x14ac:dyDescent="0.25">
      <c r="A154" t="s">
        <v>32</v>
      </c>
      <c r="B154" t="s">
        <v>32</v>
      </c>
      <c r="D154" t="s">
        <v>75</v>
      </c>
      <c r="E154" t="s">
        <v>75</v>
      </c>
      <c r="F154">
        <v>2150000</v>
      </c>
      <c r="G154" t="s">
        <v>16</v>
      </c>
      <c r="H154">
        <v>102.23399999999999</v>
      </c>
      <c r="I154">
        <v>0</v>
      </c>
      <c r="J154">
        <v>-62307</v>
      </c>
      <c r="K154">
        <v>0</v>
      </c>
      <c r="L154">
        <v>0</v>
      </c>
      <c r="M154">
        <v>38319.269999999997</v>
      </c>
      <c r="N154">
        <v>0</v>
      </c>
      <c r="O154">
        <v>0</v>
      </c>
      <c r="P154">
        <v>-23987.73</v>
      </c>
    </row>
    <row r="155" spans="1:16" x14ac:dyDescent="0.25">
      <c r="A155" t="s">
        <v>32</v>
      </c>
      <c r="B155" t="s">
        <v>32</v>
      </c>
      <c r="D155" t="s">
        <v>76</v>
      </c>
      <c r="E155" t="s">
        <v>76</v>
      </c>
      <c r="F155">
        <v>1170000</v>
      </c>
      <c r="G155" t="s">
        <v>16</v>
      </c>
      <c r="H155">
        <v>104.068</v>
      </c>
      <c r="I155">
        <v>0</v>
      </c>
      <c r="J155">
        <v>-8622.9</v>
      </c>
      <c r="K155">
        <v>0</v>
      </c>
      <c r="L155">
        <v>0</v>
      </c>
      <c r="M155">
        <v>30065.39</v>
      </c>
      <c r="N155">
        <v>0</v>
      </c>
      <c r="O155">
        <v>0</v>
      </c>
      <c r="P155">
        <v>21442.49</v>
      </c>
    </row>
    <row r="156" spans="1:16" x14ac:dyDescent="0.25">
      <c r="A156" t="s">
        <v>32</v>
      </c>
      <c r="B156" t="s">
        <v>32</v>
      </c>
      <c r="D156" t="s">
        <v>77</v>
      </c>
      <c r="E156" t="s">
        <v>77</v>
      </c>
      <c r="F156">
        <v>390000</v>
      </c>
      <c r="G156" t="s">
        <v>16</v>
      </c>
      <c r="H156">
        <v>73.31</v>
      </c>
      <c r="I156">
        <v>0</v>
      </c>
      <c r="J156">
        <v>-5452.2</v>
      </c>
      <c r="K156">
        <v>0</v>
      </c>
      <c r="L156">
        <v>0</v>
      </c>
      <c r="M156">
        <v>5537.19</v>
      </c>
      <c r="N156">
        <v>0</v>
      </c>
      <c r="O156">
        <v>0</v>
      </c>
      <c r="P156">
        <v>84.990000000000705</v>
      </c>
    </row>
    <row r="157" spans="1:16" x14ac:dyDescent="0.25">
      <c r="A157" t="s">
        <v>32</v>
      </c>
      <c r="B157" t="s">
        <v>32</v>
      </c>
      <c r="D157" t="s">
        <v>78</v>
      </c>
      <c r="E157" t="s">
        <v>78</v>
      </c>
      <c r="F157">
        <v>390000</v>
      </c>
      <c r="G157" t="s">
        <v>16</v>
      </c>
      <c r="H157">
        <v>70.481999999999999</v>
      </c>
      <c r="I157">
        <v>0</v>
      </c>
      <c r="J157">
        <v>-6045</v>
      </c>
      <c r="K157">
        <v>0</v>
      </c>
      <c r="L157">
        <v>0</v>
      </c>
      <c r="M157" s="5">
        <v>5537.19</v>
      </c>
      <c r="N157">
        <v>0</v>
      </c>
      <c r="O157">
        <v>0</v>
      </c>
      <c r="P157">
        <v>-507.80999999999898</v>
      </c>
    </row>
    <row r="158" spans="1:16" x14ac:dyDescent="0.25">
      <c r="A158" t="s">
        <v>32</v>
      </c>
      <c r="B158" t="s">
        <v>32</v>
      </c>
      <c r="D158" t="s">
        <v>79</v>
      </c>
      <c r="E158" t="s">
        <v>79</v>
      </c>
      <c r="F158">
        <v>780000</v>
      </c>
      <c r="G158" t="s">
        <v>16</v>
      </c>
      <c r="H158">
        <v>100.79600000000001</v>
      </c>
      <c r="I158">
        <v>0</v>
      </c>
      <c r="J158">
        <v>-14398.8</v>
      </c>
      <c r="K158">
        <v>0</v>
      </c>
      <c r="L158">
        <v>0</v>
      </c>
      <c r="M158">
        <v>14608.74</v>
      </c>
      <c r="N158">
        <v>0</v>
      </c>
      <c r="O158">
        <v>0</v>
      </c>
      <c r="P158">
        <v>209.94000000000199</v>
      </c>
    </row>
    <row r="159" spans="1:16" x14ac:dyDescent="0.25">
      <c r="A159" t="s">
        <v>32</v>
      </c>
      <c r="B159" t="s">
        <v>32</v>
      </c>
      <c r="D159" t="s">
        <v>80</v>
      </c>
      <c r="E159" t="s">
        <v>80</v>
      </c>
      <c r="F159">
        <v>1950000</v>
      </c>
      <c r="G159" t="s">
        <v>16</v>
      </c>
      <c r="H159">
        <v>101.12</v>
      </c>
      <c r="I159">
        <v>0</v>
      </c>
      <c r="J159">
        <v>-34203</v>
      </c>
      <c r="K159">
        <v>0</v>
      </c>
      <c r="L159">
        <v>0</v>
      </c>
      <c r="M159">
        <v>39467.18</v>
      </c>
      <c r="N159">
        <v>0</v>
      </c>
      <c r="O159">
        <v>0</v>
      </c>
      <c r="P159">
        <v>5264.18</v>
      </c>
    </row>
    <row r="160" spans="1:16" x14ac:dyDescent="0.25">
      <c r="A160" t="s">
        <v>32</v>
      </c>
      <c r="B160" t="s">
        <v>32</v>
      </c>
      <c r="D160" t="s">
        <v>81</v>
      </c>
      <c r="E160" t="s">
        <v>81</v>
      </c>
      <c r="F160">
        <v>410000</v>
      </c>
      <c r="G160" t="s">
        <v>16</v>
      </c>
      <c r="H160">
        <v>105.065</v>
      </c>
      <c r="I160">
        <v>0</v>
      </c>
      <c r="J160">
        <v>-6678.9</v>
      </c>
      <c r="K160">
        <v>0</v>
      </c>
      <c r="L160">
        <v>0</v>
      </c>
      <c r="M160">
        <v>8793.65</v>
      </c>
      <c r="N160">
        <v>0</v>
      </c>
      <c r="O160">
        <v>0</v>
      </c>
      <c r="P160">
        <v>2114.75</v>
      </c>
    </row>
    <row r="161" spans="1:16" x14ac:dyDescent="0.25">
      <c r="A161" t="s">
        <v>32</v>
      </c>
      <c r="B161" t="s">
        <v>32</v>
      </c>
      <c r="D161" t="s">
        <v>82</v>
      </c>
      <c r="E161" t="s">
        <v>82</v>
      </c>
      <c r="F161">
        <v>700000</v>
      </c>
      <c r="G161" t="s">
        <v>17</v>
      </c>
      <c r="H161">
        <v>96.554000000000002</v>
      </c>
      <c r="I161">
        <v>0</v>
      </c>
      <c r="J161">
        <v>-20223.54</v>
      </c>
      <c r="K161">
        <v>0</v>
      </c>
      <c r="L161">
        <v>-16349</v>
      </c>
      <c r="M161">
        <v>8353.86</v>
      </c>
      <c r="N161">
        <v>0</v>
      </c>
      <c r="O161">
        <v>0</v>
      </c>
      <c r="P161">
        <v>-28218.68</v>
      </c>
    </row>
    <row r="162" spans="1:16" x14ac:dyDescent="0.25">
      <c r="A162" t="s">
        <v>32</v>
      </c>
      <c r="B162" t="s">
        <v>32</v>
      </c>
      <c r="D162" t="s">
        <v>83</v>
      </c>
      <c r="E162" t="s">
        <v>83</v>
      </c>
      <c r="F162">
        <v>2340000</v>
      </c>
      <c r="G162" t="s">
        <v>16</v>
      </c>
      <c r="H162">
        <v>115.533</v>
      </c>
      <c r="I162">
        <v>0</v>
      </c>
      <c r="J162">
        <v>-11232</v>
      </c>
      <c r="K162">
        <v>0</v>
      </c>
      <c r="L162">
        <v>0</v>
      </c>
      <c r="M162">
        <v>51601.86</v>
      </c>
      <c r="N162">
        <v>0</v>
      </c>
      <c r="O162">
        <v>0</v>
      </c>
      <c r="P162">
        <v>40369.86</v>
      </c>
    </row>
    <row r="163" spans="1:16" x14ac:dyDescent="0.25">
      <c r="A163" t="s">
        <v>32</v>
      </c>
      <c r="B163" t="s">
        <v>32</v>
      </c>
      <c r="D163" t="s">
        <v>84</v>
      </c>
      <c r="E163" t="s">
        <v>84</v>
      </c>
      <c r="F163">
        <v>2042000</v>
      </c>
      <c r="G163" t="s">
        <v>16</v>
      </c>
      <c r="H163">
        <v>101.459</v>
      </c>
      <c r="I163">
        <v>0</v>
      </c>
      <c r="J163">
        <v>-64180.06</v>
      </c>
      <c r="K163">
        <v>0</v>
      </c>
      <c r="L163">
        <v>0</v>
      </c>
      <c r="M163">
        <v>29362.26</v>
      </c>
      <c r="N163">
        <v>0</v>
      </c>
      <c r="O163">
        <v>0</v>
      </c>
      <c r="P163">
        <v>-34817.800000000003</v>
      </c>
    </row>
    <row r="164" spans="1:16" x14ac:dyDescent="0.25">
      <c r="A164" t="s">
        <v>32</v>
      </c>
      <c r="B164" t="s">
        <v>32</v>
      </c>
      <c r="D164" t="s">
        <v>85</v>
      </c>
      <c r="E164" t="s">
        <v>85</v>
      </c>
      <c r="F164">
        <v>1338000</v>
      </c>
      <c r="G164" t="s">
        <v>16</v>
      </c>
      <c r="H164">
        <v>103</v>
      </c>
      <c r="I164">
        <v>0</v>
      </c>
      <c r="J164">
        <v>-40407.599999999999</v>
      </c>
      <c r="K164">
        <v>0</v>
      </c>
      <c r="L164">
        <v>0</v>
      </c>
      <c r="M164">
        <v>19886.02</v>
      </c>
      <c r="N164">
        <v>0</v>
      </c>
      <c r="O164">
        <v>0</v>
      </c>
      <c r="P164">
        <v>-20521.580000000002</v>
      </c>
    </row>
    <row r="165" spans="1:16" x14ac:dyDescent="0.25">
      <c r="A165" t="s">
        <v>32</v>
      </c>
      <c r="B165" t="s">
        <v>32</v>
      </c>
      <c r="D165" t="s">
        <v>17</v>
      </c>
      <c r="E165" t="s">
        <v>21</v>
      </c>
      <c r="F165">
        <v>-16326118.279999999</v>
      </c>
      <c r="G165" t="s">
        <v>17</v>
      </c>
      <c r="H165">
        <v>0.86334200000000005</v>
      </c>
      <c r="I165">
        <v>0</v>
      </c>
      <c r="J165">
        <v>0</v>
      </c>
      <c r="K165">
        <v>-328600.68</v>
      </c>
      <c r="L165">
        <v>782044.72</v>
      </c>
      <c r="M165">
        <v>0</v>
      </c>
      <c r="N165">
        <v>0</v>
      </c>
      <c r="O165">
        <v>0</v>
      </c>
      <c r="P165">
        <v>453444.04</v>
      </c>
    </row>
    <row r="166" spans="1:16" x14ac:dyDescent="0.25">
      <c r="A166" t="s">
        <v>32</v>
      </c>
      <c r="B166" t="s">
        <v>32</v>
      </c>
      <c r="D166" t="s">
        <v>86</v>
      </c>
      <c r="E166" t="s">
        <v>86</v>
      </c>
      <c r="F166">
        <v>600000</v>
      </c>
      <c r="G166" t="s">
        <v>17</v>
      </c>
      <c r="H166">
        <v>93.111999999999995</v>
      </c>
      <c r="I166">
        <v>0</v>
      </c>
      <c r="J166">
        <v>-3367.93</v>
      </c>
      <c r="K166">
        <v>0</v>
      </c>
      <c r="L166">
        <v>-13046.72</v>
      </c>
      <c r="M166">
        <v>4902.96</v>
      </c>
      <c r="N166">
        <v>0</v>
      </c>
      <c r="O166">
        <v>0</v>
      </c>
      <c r="P166">
        <v>-11511.69</v>
      </c>
    </row>
    <row r="167" spans="1:16" x14ac:dyDescent="0.25">
      <c r="A167" t="s">
        <v>32</v>
      </c>
      <c r="B167" t="s">
        <v>32</v>
      </c>
      <c r="D167" t="s">
        <v>87</v>
      </c>
      <c r="E167" t="s">
        <v>87</v>
      </c>
      <c r="F167">
        <v>2631000</v>
      </c>
      <c r="G167" t="s">
        <v>16</v>
      </c>
      <c r="H167">
        <v>64.525000000000006</v>
      </c>
      <c r="I167">
        <v>14040</v>
      </c>
      <c r="J167">
        <v>-72813.66</v>
      </c>
      <c r="K167">
        <v>0</v>
      </c>
      <c r="L167">
        <v>0</v>
      </c>
      <c r="M167">
        <v>31941.84</v>
      </c>
      <c r="N167">
        <v>0</v>
      </c>
      <c r="O167">
        <v>0</v>
      </c>
      <c r="P167">
        <v>-26831.82</v>
      </c>
    </row>
    <row r="168" spans="1:16" x14ac:dyDescent="0.25">
      <c r="A168" t="s">
        <v>32</v>
      </c>
      <c r="B168" t="s">
        <v>32</v>
      </c>
      <c r="D168" t="s">
        <v>88</v>
      </c>
      <c r="E168" t="s">
        <v>88</v>
      </c>
      <c r="F168">
        <v>5940000</v>
      </c>
      <c r="G168" t="s">
        <v>16</v>
      </c>
      <c r="H168">
        <v>71.149000000000001</v>
      </c>
      <c r="I168">
        <v>0</v>
      </c>
      <c r="J168">
        <v>-211820.4</v>
      </c>
      <c r="K168">
        <v>0</v>
      </c>
      <c r="L168">
        <v>0</v>
      </c>
      <c r="M168">
        <v>64597.51</v>
      </c>
      <c r="N168">
        <v>0</v>
      </c>
      <c r="O168">
        <v>0</v>
      </c>
      <c r="P168">
        <v>-147222.89000000001</v>
      </c>
    </row>
    <row r="169" spans="1:16" x14ac:dyDescent="0.25">
      <c r="A169" t="s">
        <v>32</v>
      </c>
      <c r="B169" t="s">
        <v>32</v>
      </c>
      <c r="D169" t="s">
        <v>89</v>
      </c>
      <c r="E169" t="s">
        <v>89</v>
      </c>
      <c r="F169">
        <v>4017000</v>
      </c>
      <c r="G169" t="s">
        <v>16</v>
      </c>
      <c r="H169">
        <v>93.094999999999999</v>
      </c>
      <c r="I169">
        <v>55960.77</v>
      </c>
      <c r="J169">
        <v>-144493.5</v>
      </c>
      <c r="K169">
        <v>0</v>
      </c>
      <c r="L169">
        <v>0</v>
      </c>
      <c r="M169">
        <v>76313.539999999994</v>
      </c>
      <c r="N169">
        <v>0</v>
      </c>
      <c r="O169">
        <v>0</v>
      </c>
      <c r="P169">
        <v>-12219.19</v>
      </c>
    </row>
    <row r="170" spans="1:16" x14ac:dyDescent="0.25">
      <c r="A170" t="s">
        <v>32</v>
      </c>
      <c r="B170" t="s">
        <v>32</v>
      </c>
      <c r="D170" t="s">
        <v>90</v>
      </c>
      <c r="E170" t="s">
        <v>90</v>
      </c>
      <c r="F170">
        <v>0</v>
      </c>
      <c r="G170" t="s">
        <v>16</v>
      </c>
      <c r="H170">
        <v>0</v>
      </c>
      <c r="I170">
        <v>4087.5</v>
      </c>
      <c r="J170">
        <v>-3264.55</v>
      </c>
      <c r="K170">
        <v>0</v>
      </c>
      <c r="L170">
        <v>0</v>
      </c>
      <c r="M170">
        <v>821.29000000000099</v>
      </c>
      <c r="N170">
        <v>0</v>
      </c>
      <c r="O170">
        <v>0</v>
      </c>
      <c r="P170">
        <v>1644.24</v>
      </c>
    </row>
    <row r="171" spans="1:16" x14ac:dyDescent="0.25">
      <c r="A171" t="s">
        <v>32</v>
      </c>
      <c r="B171" t="s">
        <v>32</v>
      </c>
      <c r="D171" t="s">
        <v>91</v>
      </c>
      <c r="E171" t="s">
        <v>91</v>
      </c>
      <c r="F171">
        <v>2340000</v>
      </c>
      <c r="G171" t="s">
        <v>16</v>
      </c>
      <c r="H171">
        <v>75.900999999999996</v>
      </c>
      <c r="I171">
        <v>0</v>
      </c>
      <c r="J171">
        <v>-53250.6</v>
      </c>
      <c r="K171">
        <v>0</v>
      </c>
      <c r="L171">
        <v>0</v>
      </c>
      <c r="M171">
        <v>6727.5</v>
      </c>
      <c r="N171">
        <v>0</v>
      </c>
      <c r="O171">
        <v>0</v>
      </c>
      <c r="P171">
        <v>-46523.1</v>
      </c>
    </row>
    <row r="172" spans="1:16" x14ac:dyDescent="0.25">
      <c r="A172" t="s">
        <v>32</v>
      </c>
      <c r="B172" t="s">
        <v>32</v>
      </c>
      <c r="D172" t="s">
        <v>92</v>
      </c>
      <c r="E172" t="s">
        <v>92</v>
      </c>
      <c r="F172">
        <v>975000</v>
      </c>
      <c r="G172" t="s">
        <v>16</v>
      </c>
      <c r="H172">
        <v>83.994</v>
      </c>
      <c r="I172">
        <v>0</v>
      </c>
      <c r="J172">
        <v>-33939.75</v>
      </c>
      <c r="K172">
        <v>0</v>
      </c>
      <c r="L172">
        <v>0</v>
      </c>
      <c r="M172">
        <v>2979.17</v>
      </c>
      <c r="N172">
        <v>0</v>
      </c>
      <c r="O172">
        <v>0</v>
      </c>
      <c r="P172">
        <v>-30960.58</v>
      </c>
    </row>
    <row r="173" spans="1:16" x14ac:dyDescent="0.25">
      <c r="A173" t="s">
        <v>32</v>
      </c>
      <c r="B173" t="s">
        <v>32</v>
      </c>
      <c r="D173" t="s">
        <v>93</v>
      </c>
      <c r="E173" t="s">
        <v>93</v>
      </c>
      <c r="F173">
        <v>975000</v>
      </c>
      <c r="G173" t="s">
        <v>16</v>
      </c>
      <c r="H173">
        <v>94.825000000000003</v>
      </c>
      <c r="I173">
        <v>0</v>
      </c>
      <c r="J173">
        <v>-32175</v>
      </c>
      <c r="K173">
        <v>0</v>
      </c>
      <c r="L173">
        <v>0</v>
      </c>
      <c r="M173">
        <v>3500.52</v>
      </c>
      <c r="N173">
        <v>0</v>
      </c>
      <c r="O173">
        <v>0</v>
      </c>
      <c r="P173">
        <v>-28674.48</v>
      </c>
    </row>
    <row r="174" spans="1:16" x14ac:dyDescent="0.25">
      <c r="A174" t="s">
        <v>32</v>
      </c>
      <c r="B174" t="s">
        <v>32</v>
      </c>
      <c r="D174" t="s">
        <v>94</v>
      </c>
      <c r="E174" t="s">
        <v>94</v>
      </c>
      <c r="F174">
        <v>585000</v>
      </c>
      <c r="G174" t="s">
        <v>16</v>
      </c>
      <c r="H174">
        <v>97.078000000000003</v>
      </c>
      <c r="I174">
        <v>-5177.25</v>
      </c>
      <c r="J174">
        <v>-6165.9</v>
      </c>
      <c r="K174">
        <v>0</v>
      </c>
      <c r="L174">
        <v>0</v>
      </c>
      <c r="M174">
        <v>8181.89</v>
      </c>
      <c r="N174">
        <v>0</v>
      </c>
      <c r="O174">
        <v>0</v>
      </c>
      <c r="P174">
        <v>-3161.26</v>
      </c>
    </row>
    <row r="175" spans="1:16" x14ac:dyDescent="0.25">
      <c r="A175" t="s">
        <v>32</v>
      </c>
      <c r="B175" t="s">
        <v>32</v>
      </c>
      <c r="D175" t="s">
        <v>95</v>
      </c>
      <c r="E175" t="s">
        <v>95</v>
      </c>
      <c r="F175">
        <v>1370000</v>
      </c>
      <c r="G175" t="s">
        <v>16</v>
      </c>
      <c r="H175">
        <v>97.054000000000002</v>
      </c>
      <c r="I175">
        <v>0</v>
      </c>
      <c r="J175">
        <v>-29907.1</v>
      </c>
      <c r="K175">
        <v>0</v>
      </c>
      <c r="L175">
        <v>0</v>
      </c>
      <c r="M175">
        <v>17795.740000000002</v>
      </c>
      <c r="N175">
        <v>0</v>
      </c>
      <c r="O175">
        <v>0</v>
      </c>
      <c r="P175">
        <v>-12111.36</v>
      </c>
    </row>
    <row r="176" spans="1:16" x14ac:dyDescent="0.25">
      <c r="A176" t="s">
        <v>32</v>
      </c>
      <c r="B176" t="s">
        <v>32</v>
      </c>
      <c r="D176" t="s">
        <v>96</v>
      </c>
      <c r="E176" t="s">
        <v>96</v>
      </c>
      <c r="F176">
        <v>1755000</v>
      </c>
      <c r="G176" t="s">
        <v>16</v>
      </c>
      <c r="H176">
        <v>99.989000000000004</v>
      </c>
      <c r="I176">
        <v>0</v>
      </c>
      <c r="J176">
        <v>-33029.1</v>
      </c>
      <c r="K176">
        <v>0</v>
      </c>
      <c r="L176">
        <v>0</v>
      </c>
      <c r="M176">
        <v>23326.87</v>
      </c>
      <c r="N176">
        <v>0</v>
      </c>
      <c r="O176">
        <v>0</v>
      </c>
      <c r="P176">
        <v>-9702.23</v>
      </c>
    </row>
    <row r="177" spans="1:16" x14ac:dyDescent="0.25">
      <c r="A177" t="s">
        <v>32</v>
      </c>
      <c r="B177" t="s">
        <v>32</v>
      </c>
      <c r="D177" t="s">
        <v>97</v>
      </c>
      <c r="E177" t="s">
        <v>97</v>
      </c>
      <c r="F177">
        <v>3510000</v>
      </c>
      <c r="G177" t="s">
        <v>16</v>
      </c>
      <c r="H177">
        <v>95.858999999999995</v>
      </c>
      <c r="I177">
        <v>0</v>
      </c>
      <c r="J177">
        <v>-100912.5</v>
      </c>
      <c r="K177">
        <v>0</v>
      </c>
      <c r="L177">
        <v>0</v>
      </c>
      <c r="M177">
        <v>47714.05</v>
      </c>
      <c r="N177">
        <v>0</v>
      </c>
      <c r="O177">
        <v>0</v>
      </c>
      <c r="P177">
        <v>-53198.45</v>
      </c>
    </row>
    <row r="178" spans="1:16" x14ac:dyDescent="0.25">
      <c r="A178" t="s">
        <v>32</v>
      </c>
      <c r="B178" t="s">
        <v>32</v>
      </c>
      <c r="D178" t="s">
        <v>98</v>
      </c>
      <c r="E178" t="s">
        <v>98</v>
      </c>
      <c r="F178">
        <v>590000</v>
      </c>
      <c r="G178" t="s">
        <v>16</v>
      </c>
      <c r="H178">
        <v>92.876000000000005</v>
      </c>
      <c r="I178">
        <v>0</v>
      </c>
      <c r="J178">
        <v>-9835.2999999999993</v>
      </c>
      <c r="K178">
        <v>0</v>
      </c>
      <c r="L178">
        <v>0</v>
      </c>
      <c r="M178">
        <v>5346.88</v>
      </c>
      <c r="N178">
        <v>0</v>
      </c>
      <c r="O178">
        <v>0</v>
      </c>
      <c r="P178">
        <v>-4488.42</v>
      </c>
    </row>
    <row r="179" spans="1:16" x14ac:dyDescent="0.25">
      <c r="A179" t="s">
        <v>32</v>
      </c>
      <c r="B179" t="s">
        <v>32</v>
      </c>
      <c r="D179" t="s">
        <v>99</v>
      </c>
      <c r="E179" t="s">
        <v>99</v>
      </c>
      <c r="F179">
        <v>0</v>
      </c>
      <c r="G179" t="s">
        <v>16</v>
      </c>
      <c r="H179">
        <v>0</v>
      </c>
      <c r="I179">
        <v>20185</v>
      </c>
      <c r="J179">
        <v>-23960.2</v>
      </c>
      <c r="K179">
        <v>0</v>
      </c>
      <c r="L179">
        <v>0</v>
      </c>
      <c r="M179">
        <v>7464.18</v>
      </c>
      <c r="N179">
        <v>0</v>
      </c>
      <c r="O179">
        <v>0</v>
      </c>
      <c r="P179">
        <v>3688.98</v>
      </c>
    </row>
    <row r="180" spans="1:16" x14ac:dyDescent="0.25">
      <c r="A180" t="s">
        <v>32</v>
      </c>
      <c r="B180" t="s">
        <v>32</v>
      </c>
      <c r="D180" t="s">
        <v>100</v>
      </c>
      <c r="E180" t="s">
        <v>100</v>
      </c>
      <c r="F180">
        <v>1560000</v>
      </c>
      <c r="G180" t="s">
        <v>16</v>
      </c>
      <c r="H180">
        <v>99.203000000000003</v>
      </c>
      <c r="I180">
        <v>0</v>
      </c>
      <c r="J180">
        <v>-53164.800000000003</v>
      </c>
      <c r="K180">
        <v>0</v>
      </c>
      <c r="L180">
        <v>0</v>
      </c>
      <c r="M180">
        <v>25447.49</v>
      </c>
      <c r="N180">
        <v>0</v>
      </c>
      <c r="O180">
        <v>0</v>
      </c>
      <c r="P180">
        <v>-27717.31</v>
      </c>
    </row>
    <row r="181" spans="1:16" x14ac:dyDescent="0.25">
      <c r="A181" t="s">
        <v>32</v>
      </c>
      <c r="B181" t="s">
        <v>32</v>
      </c>
      <c r="D181" t="s">
        <v>101</v>
      </c>
      <c r="E181" t="s">
        <v>101</v>
      </c>
      <c r="F181">
        <v>1250000</v>
      </c>
      <c r="G181" t="s">
        <v>16</v>
      </c>
      <c r="H181">
        <v>102.053</v>
      </c>
      <c r="I181">
        <v>0</v>
      </c>
      <c r="J181">
        <v>25037.5</v>
      </c>
      <c r="K181">
        <v>0</v>
      </c>
      <c r="L181">
        <v>0</v>
      </c>
      <c r="M181">
        <v>49041.1</v>
      </c>
      <c r="N181">
        <v>0</v>
      </c>
      <c r="O181">
        <v>0</v>
      </c>
      <c r="P181">
        <v>74078.600000000006</v>
      </c>
    </row>
    <row r="182" spans="1:16" x14ac:dyDescent="0.25">
      <c r="A182" t="s">
        <v>32</v>
      </c>
      <c r="B182" t="s">
        <v>32</v>
      </c>
      <c r="D182" t="s">
        <v>102</v>
      </c>
      <c r="E182" t="s">
        <v>102</v>
      </c>
      <c r="F182">
        <v>0</v>
      </c>
      <c r="G182" t="s">
        <v>16</v>
      </c>
      <c r="H182">
        <v>0</v>
      </c>
      <c r="I182">
        <v>0</v>
      </c>
      <c r="J182">
        <v>-18387.5</v>
      </c>
      <c r="K182">
        <v>0</v>
      </c>
      <c r="L182">
        <v>0</v>
      </c>
      <c r="M182">
        <v>-75277.78</v>
      </c>
      <c r="N182">
        <v>0</v>
      </c>
      <c r="O182">
        <v>0</v>
      </c>
      <c r="P182">
        <v>-93665.279999999999</v>
      </c>
    </row>
    <row r="183" spans="1:16" x14ac:dyDescent="0.25">
      <c r="A183" t="s">
        <v>32</v>
      </c>
      <c r="B183" t="s">
        <v>32</v>
      </c>
      <c r="D183" t="s">
        <v>103</v>
      </c>
      <c r="E183" t="s">
        <v>103</v>
      </c>
      <c r="F183">
        <v>0</v>
      </c>
      <c r="G183" t="s">
        <v>16</v>
      </c>
      <c r="H183">
        <v>0</v>
      </c>
      <c r="I183">
        <v>182771.25</v>
      </c>
      <c r="J183">
        <v>-186017.73</v>
      </c>
      <c r="K183">
        <v>0</v>
      </c>
      <c r="L183">
        <v>0</v>
      </c>
      <c r="M183">
        <v>3256.5</v>
      </c>
      <c r="N183">
        <v>0</v>
      </c>
      <c r="O183">
        <v>0</v>
      </c>
      <c r="P183">
        <v>10.0199999999895</v>
      </c>
    </row>
    <row r="184" spans="1:16" x14ac:dyDescent="0.25">
      <c r="A184" t="s">
        <v>32</v>
      </c>
      <c r="B184" t="s">
        <v>32</v>
      </c>
      <c r="D184" t="s">
        <v>104</v>
      </c>
      <c r="E184" t="s">
        <v>104</v>
      </c>
      <c r="F184">
        <v>4820000</v>
      </c>
      <c r="G184" t="s">
        <v>16</v>
      </c>
      <c r="H184">
        <v>92.194999999999993</v>
      </c>
      <c r="I184">
        <v>0</v>
      </c>
      <c r="J184">
        <v>-124775.08</v>
      </c>
      <c r="K184">
        <v>0</v>
      </c>
      <c r="L184">
        <v>0</v>
      </c>
      <c r="M184">
        <v>73698.7</v>
      </c>
      <c r="N184">
        <v>0</v>
      </c>
      <c r="O184">
        <v>0</v>
      </c>
      <c r="P184">
        <v>-51076.38</v>
      </c>
    </row>
    <row r="185" spans="1:16" x14ac:dyDescent="0.25">
      <c r="A185" t="s">
        <v>32</v>
      </c>
      <c r="B185" t="s">
        <v>32</v>
      </c>
      <c r="D185" t="s">
        <v>105</v>
      </c>
      <c r="E185" t="s">
        <v>105</v>
      </c>
      <c r="F185">
        <v>2379000</v>
      </c>
      <c r="G185" t="s">
        <v>16</v>
      </c>
      <c r="H185">
        <v>99.551000000000002</v>
      </c>
      <c r="I185">
        <v>0</v>
      </c>
      <c r="J185">
        <v>-50268.27</v>
      </c>
      <c r="K185">
        <v>0</v>
      </c>
      <c r="L185">
        <v>0</v>
      </c>
      <c r="M185">
        <v>39324.870000000003</v>
      </c>
      <c r="N185">
        <v>0</v>
      </c>
      <c r="O185">
        <v>0</v>
      </c>
      <c r="P185">
        <v>-10943.4</v>
      </c>
    </row>
    <row r="186" spans="1:16" x14ac:dyDescent="0.25">
      <c r="A186" t="s">
        <v>32</v>
      </c>
      <c r="B186" t="s">
        <v>32</v>
      </c>
      <c r="D186" t="s">
        <v>106</v>
      </c>
      <c r="E186" t="s">
        <v>106</v>
      </c>
      <c r="F186">
        <v>860000</v>
      </c>
      <c r="G186" t="s">
        <v>16</v>
      </c>
      <c r="H186">
        <v>104.53700000000001</v>
      </c>
      <c r="I186">
        <v>0</v>
      </c>
      <c r="J186">
        <v>-23125.4</v>
      </c>
      <c r="K186">
        <v>0</v>
      </c>
      <c r="L186">
        <v>0</v>
      </c>
      <c r="M186">
        <v>18185.419999999998</v>
      </c>
      <c r="N186">
        <v>0</v>
      </c>
      <c r="O186">
        <v>0</v>
      </c>
      <c r="P186">
        <v>-4939.9799999999996</v>
      </c>
    </row>
    <row r="187" spans="1:16" x14ac:dyDescent="0.25">
      <c r="A187" t="s">
        <v>32</v>
      </c>
      <c r="B187" t="s">
        <v>32</v>
      </c>
      <c r="D187" t="s">
        <v>107</v>
      </c>
      <c r="E187" t="s">
        <v>107</v>
      </c>
      <c r="F187">
        <v>0</v>
      </c>
      <c r="G187" t="s">
        <v>17</v>
      </c>
      <c r="H187">
        <v>0</v>
      </c>
      <c r="I187">
        <v>18617.29</v>
      </c>
      <c r="J187">
        <v>0</v>
      </c>
      <c r="K187">
        <v>38469.25</v>
      </c>
      <c r="L187">
        <v>0</v>
      </c>
      <c r="M187">
        <v>8386.32</v>
      </c>
      <c r="N187">
        <v>0</v>
      </c>
      <c r="O187">
        <v>0</v>
      </c>
      <c r="P187">
        <v>65472.86</v>
      </c>
    </row>
    <row r="188" spans="1:16" x14ac:dyDescent="0.25">
      <c r="A188" t="s">
        <v>32</v>
      </c>
      <c r="B188" t="s">
        <v>32</v>
      </c>
      <c r="D188" t="s">
        <v>108</v>
      </c>
      <c r="E188" t="s">
        <v>108</v>
      </c>
      <c r="F188">
        <v>0</v>
      </c>
      <c r="G188" t="s">
        <v>17</v>
      </c>
      <c r="H188">
        <v>0</v>
      </c>
      <c r="I188">
        <v>0</v>
      </c>
      <c r="J188">
        <v>0</v>
      </c>
      <c r="K188">
        <v>-10891.55</v>
      </c>
      <c r="L188">
        <v>0</v>
      </c>
      <c r="M188">
        <v>12608.6</v>
      </c>
      <c r="N188">
        <v>0</v>
      </c>
      <c r="O188">
        <v>0</v>
      </c>
      <c r="P188">
        <v>1717.05</v>
      </c>
    </row>
    <row r="189" spans="1:16" x14ac:dyDescent="0.25">
      <c r="A189" t="s">
        <v>32</v>
      </c>
      <c r="B189" t="s">
        <v>32</v>
      </c>
      <c r="D189" t="s">
        <v>109</v>
      </c>
      <c r="E189" t="s">
        <v>109</v>
      </c>
      <c r="F189">
        <v>195000</v>
      </c>
      <c r="G189" t="s">
        <v>17</v>
      </c>
      <c r="H189">
        <v>93.79</v>
      </c>
      <c r="I189">
        <v>0</v>
      </c>
      <c r="J189">
        <v>-13775.83</v>
      </c>
      <c r="K189">
        <v>0</v>
      </c>
      <c r="L189">
        <v>-5533.79</v>
      </c>
      <c r="M189">
        <v>682.97</v>
      </c>
      <c r="N189">
        <v>0</v>
      </c>
      <c r="O189">
        <v>0</v>
      </c>
      <c r="P189">
        <v>-18626.650000000001</v>
      </c>
    </row>
    <row r="190" spans="1:16" x14ac:dyDescent="0.25">
      <c r="A190" t="s">
        <v>32</v>
      </c>
      <c r="B190" t="s">
        <v>32</v>
      </c>
      <c r="D190" t="s">
        <v>110</v>
      </c>
      <c r="E190" t="s">
        <v>110</v>
      </c>
      <c r="F190">
        <v>0</v>
      </c>
      <c r="G190" t="s">
        <v>17</v>
      </c>
      <c r="H190">
        <v>0</v>
      </c>
      <c r="I190">
        <v>12369.13</v>
      </c>
      <c r="J190">
        <v>-7919.91</v>
      </c>
      <c r="K190">
        <v>6354.5</v>
      </c>
      <c r="L190">
        <v>-1278.6500000000001</v>
      </c>
      <c r="M190">
        <v>1948.23</v>
      </c>
      <c r="N190">
        <v>0</v>
      </c>
      <c r="O190">
        <v>0</v>
      </c>
      <c r="P190">
        <v>11473.3</v>
      </c>
    </row>
    <row r="191" spans="1:16" x14ac:dyDescent="0.25">
      <c r="A191" t="s">
        <v>32</v>
      </c>
      <c r="B191" t="s">
        <v>32</v>
      </c>
      <c r="D191" t="s">
        <v>111</v>
      </c>
      <c r="E191" t="s">
        <v>111</v>
      </c>
      <c r="F191">
        <v>196000</v>
      </c>
      <c r="G191" t="s">
        <v>16</v>
      </c>
      <c r="H191">
        <v>93.067999999999998</v>
      </c>
      <c r="I191">
        <v>0</v>
      </c>
      <c r="J191">
        <v>-13500.48</v>
      </c>
      <c r="K191">
        <v>0</v>
      </c>
      <c r="L191">
        <v>0</v>
      </c>
      <c r="M191">
        <v>751.33</v>
      </c>
      <c r="N191">
        <v>0</v>
      </c>
      <c r="O191">
        <v>0</v>
      </c>
      <c r="P191">
        <v>-12749.15</v>
      </c>
    </row>
    <row r="192" spans="1:16" x14ac:dyDescent="0.25">
      <c r="A192" t="s">
        <v>32</v>
      </c>
      <c r="B192" t="s">
        <v>32</v>
      </c>
      <c r="D192" t="s">
        <v>112</v>
      </c>
      <c r="E192" t="s">
        <v>112</v>
      </c>
      <c r="F192">
        <v>1170000</v>
      </c>
      <c r="G192" t="s">
        <v>17</v>
      </c>
      <c r="H192">
        <v>92.635999999999996</v>
      </c>
      <c r="I192">
        <v>0</v>
      </c>
      <c r="J192">
        <v>-103716.23</v>
      </c>
      <c r="K192">
        <v>0</v>
      </c>
      <c r="L192">
        <v>-33338.65</v>
      </c>
      <c r="M192">
        <v>4935.25</v>
      </c>
      <c r="N192">
        <v>0</v>
      </c>
      <c r="O192">
        <v>0</v>
      </c>
      <c r="P192">
        <v>-132119.63</v>
      </c>
    </row>
    <row r="193" spans="1:16" x14ac:dyDescent="0.25">
      <c r="A193" t="s">
        <v>32</v>
      </c>
      <c r="B193" t="s">
        <v>32</v>
      </c>
      <c r="D193" t="s">
        <v>113</v>
      </c>
      <c r="E193" t="s">
        <v>113</v>
      </c>
      <c r="F193">
        <v>195000</v>
      </c>
      <c r="G193" t="s">
        <v>17</v>
      </c>
      <c r="H193">
        <v>97.283000000000001</v>
      </c>
      <c r="I193">
        <v>0</v>
      </c>
      <c r="J193">
        <v>-7451.1</v>
      </c>
      <c r="K193">
        <v>0</v>
      </c>
      <c r="L193">
        <v>-4550.97</v>
      </c>
      <c r="M193">
        <v>3174.92</v>
      </c>
      <c r="N193">
        <v>0</v>
      </c>
      <c r="O193">
        <v>0</v>
      </c>
      <c r="P193">
        <v>-8827.15</v>
      </c>
    </row>
    <row r="194" spans="1:16" x14ac:dyDescent="0.25">
      <c r="A194" t="s">
        <v>32</v>
      </c>
      <c r="B194" t="s">
        <v>32</v>
      </c>
      <c r="D194" t="s">
        <v>114</v>
      </c>
      <c r="E194" t="s">
        <v>114</v>
      </c>
      <c r="F194">
        <v>390000</v>
      </c>
      <c r="G194" t="s">
        <v>17</v>
      </c>
      <c r="H194">
        <v>101.828</v>
      </c>
      <c r="I194">
        <v>0</v>
      </c>
      <c r="J194">
        <v>-15301.51</v>
      </c>
      <c r="K194">
        <v>0</v>
      </c>
      <c r="L194">
        <v>-9027.52</v>
      </c>
      <c r="M194">
        <v>6104.35</v>
      </c>
      <c r="N194">
        <v>0</v>
      </c>
      <c r="O194">
        <v>0</v>
      </c>
      <c r="P194">
        <v>-18224.68</v>
      </c>
    </row>
    <row r="195" spans="1:16" x14ac:dyDescent="0.25">
      <c r="A195" t="s">
        <v>32</v>
      </c>
      <c r="B195" t="s">
        <v>32</v>
      </c>
      <c r="D195" t="s">
        <v>115</v>
      </c>
      <c r="E195" t="s">
        <v>115</v>
      </c>
      <c r="F195">
        <v>195000</v>
      </c>
      <c r="G195" t="s">
        <v>17</v>
      </c>
      <c r="H195">
        <v>96.173000000000002</v>
      </c>
      <c r="I195">
        <v>0</v>
      </c>
      <c r="J195">
        <v>-7596.03</v>
      </c>
      <c r="K195">
        <v>0</v>
      </c>
      <c r="L195">
        <v>-4522.46</v>
      </c>
      <c r="M195">
        <v>3369.3</v>
      </c>
      <c r="N195">
        <v>0</v>
      </c>
      <c r="O195">
        <v>0</v>
      </c>
      <c r="P195">
        <v>-8749.19</v>
      </c>
    </row>
    <row r="196" spans="1:16" x14ac:dyDescent="0.25">
      <c r="A196" t="s">
        <v>32</v>
      </c>
      <c r="B196" t="s">
        <v>32</v>
      </c>
      <c r="D196" t="s">
        <v>116</v>
      </c>
      <c r="E196" t="s">
        <v>116</v>
      </c>
      <c r="F196">
        <v>2340000</v>
      </c>
      <c r="G196" t="s">
        <v>17</v>
      </c>
      <c r="H196">
        <v>100.358</v>
      </c>
      <c r="I196">
        <v>0</v>
      </c>
      <c r="J196">
        <v>-110390.91</v>
      </c>
      <c r="K196">
        <v>0</v>
      </c>
      <c r="L196">
        <v>-54079.69</v>
      </c>
      <c r="M196">
        <v>40074.82</v>
      </c>
      <c r="N196">
        <v>0</v>
      </c>
      <c r="O196">
        <v>0</v>
      </c>
      <c r="P196">
        <v>-124395.78</v>
      </c>
    </row>
    <row r="197" spans="1:16" x14ac:dyDescent="0.25">
      <c r="A197" t="s">
        <v>32</v>
      </c>
      <c r="B197" t="s">
        <v>32</v>
      </c>
      <c r="D197" t="s">
        <v>22</v>
      </c>
      <c r="E197" t="s">
        <v>22</v>
      </c>
      <c r="F197">
        <v>2000000</v>
      </c>
      <c r="G197" t="s">
        <v>16</v>
      </c>
      <c r="H197">
        <v>100.833</v>
      </c>
      <c r="I197">
        <v>0</v>
      </c>
      <c r="J197">
        <v>-36080</v>
      </c>
      <c r="K197">
        <v>0</v>
      </c>
      <c r="L197">
        <v>0</v>
      </c>
      <c r="M197">
        <v>33229.160000000003</v>
      </c>
      <c r="N197">
        <v>0</v>
      </c>
      <c r="O197">
        <v>0</v>
      </c>
      <c r="P197">
        <v>-2850.84</v>
      </c>
    </row>
    <row r="198" spans="1:16" x14ac:dyDescent="0.25">
      <c r="A198" t="s">
        <v>32</v>
      </c>
      <c r="B198" t="s">
        <v>32</v>
      </c>
      <c r="D198" t="s">
        <v>30</v>
      </c>
      <c r="E198" t="s">
        <v>30</v>
      </c>
      <c r="F198">
        <v>0</v>
      </c>
      <c r="G198" t="s">
        <v>16</v>
      </c>
      <c r="H198">
        <v>0</v>
      </c>
      <c r="I198">
        <v>23808</v>
      </c>
      <c r="J198">
        <v>-24032</v>
      </c>
      <c r="K198">
        <v>0</v>
      </c>
      <c r="L198">
        <v>0</v>
      </c>
      <c r="M198">
        <v>3111.11</v>
      </c>
      <c r="N198">
        <v>0</v>
      </c>
      <c r="O198">
        <v>0</v>
      </c>
      <c r="P198">
        <v>2887.11</v>
      </c>
    </row>
    <row r="199" spans="1:16" x14ac:dyDescent="0.25">
      <c r="A199" t="s">
        <v>32</v>
      </c>
      <c r="B199" t="s">
        <v>32</v>
      </c>
      <c r="D199" t="s">
        <v>117</v>
      </c>
      <c r="E199" t="s">
        <v>117</v>
      </c>
      <c r="F199">
        <v>800000</v>
      </c>
      <c r="G199" t="s">
        <v>16</v>
      </c>
      <c r="H199">
        <v>92.67</v>
      </c>
      <c r="I199">
        <v>0</v>
      </c>
      <c r="J199">
        <v>-21600</v>
      </c>
      <c r="K199">
        <v>0</v>
      </c>
      <c r="L199">
        <v>0</v>
      </c>
      <c r="M199">
        <v>9183.34</v>
      </c>
      <c r="N199">
        <v>0</v>
      </c>
      <c r="O199">
        <v>0</v>
      </c>
      <c r="P199">
        <v>-12416.66</v>
      </c>
    </row>
    <row r="200" spans="1:16" x14ac:dyDescent="0.25">
      <c r="A200" t="s">
        <v>32</v>
      </c>
      <c r="B200" t="s">
        <v>32</v>
      </c>
      <c r="D200" t="s">
        <v>118</v>
      </c>
      <c r="E200" t="s">
        <v>118</v>
      </c>
      <c r="F200">
        <v>1170000</v>
      </c>
      <c r="G200" t="s">
        <v>16</v>
      </c>
      <c r="H200">
        <v>102.86499999999999</v>
      </c>
      <c r="I200">
        <v>0</v>
      </c>
      <c r="J200">
        <v>-28337.4</v>
      </c>
      <c r="K200">
        <v>0</v>
      </c>
      <c r="L200">
        <v>0</v>
      </c>
      <c r="M200">
        <v>16723.97</v>
      </c>
      <c r="N200">
        <v>0</v>
      </c>
      <c r="O200">
        <v>0</v>
      </c>
      <c r="P200">
        <v>-11613.43</v>
      </c>
    </row>
    <row r="201" spans="1:16" x14ac:dyDescent="0.25">
      <c r="A201" t="s">
        <v>32</v>
      </c>
      <c r="B201" t="s">
        <v>32</v>
      </c>
      <c r="D201" t="s">
        <v>23</v>
      </c>
      <c r="E201" t="s">
        <v>23</v>
      </c>
      <c r="F201">
        <v>600000</v>
      </c>
      <c r="G201" t="s">
        <v>16</v>
      </c>
      <c r="H201">
        <v>103.07</v>
      </c>
      <c r="I201">
        <v>0</v>
      </c>
      <c r="J201">
        <v>-11136</v>
      </c>
      <c r="K201">
        <v>0</v>
      </c>
      <c r="L201">
        <v>0</v>
      </c>
      <c r="M201">
        <v>11056.24</v>
      </c>
      <c r="N201">
        <v>0</v>
      </c>
      <c r="O201">
        <v>0</v>
      </c>
      <c r="P201">
        <v>-79.760000000000204</v>
      </c>
    </row>
    <row r="202" spans="1:16" x14ac:dyDescent="0.25">
      <c r="A202" t="s">
        <v>32</v>
      </c>
      <c r="B202" t="s">
        <v>32</v>
      </c>
      <c r="D202" t="s">
        <v>119</v>
      </c>
      <c r="E202" t="s">
        <v>119</v>
      </c>
      <c r="F202">
        <v>600000</v>
      </c>
      <c r="G202" t="s">
        <v>16</v>
      </c>
      <c r="H202">
        <v>105.223</v>
      </c>
      <c r="I202">
        <v>0</v>
      </c>
      <c r="J202">
        <v>-16764</v>
      </c>
      <c r="K202">
        <v>0</v>
      </c>
      <c r="L202">
        <v>0</v>
      </c>
      <c r="M202">
        <v>11237.49</v>
      </c>
      <c r="N202">
        <v>0</v>
      </c>
      <c r="O202">
        <v>0</v>
      </c>
      <c r="P202">
        <v>-5526.51</v>
      </c>
    </row>
    <row r="203" spans="1:16" x14ac:dyDescent="0.25">
      <c r="A203" t="s">
        <v>32</v>
      </c>
      <c r="B203" t="s">
        <v>32</v>
      </c>
      <c r="D203" t="s">
        <v>120</v>
      </c>
      <c r="E203" t="s">
        <v>121</v>
      </c>
      <c r="F203">
        <v>6150000</v>
      </c>
      <c r="G203" t="s">
        <v>16</v>
      </c>
      <c r="H203">
        <v>99.171875</v>
      </c>
      <c r="I203">
        <v>0</v>
      </c>
      <c r="J203">
        <v>-120117.18</v>
      </c>
      <c r="K203">
        <v>0</v>
      </c>
      <c r="L203">
        <v>0</v>
      </c>
      <c r="M203">
        <v>62094.62</v>
      </c>
      <c r="N203">
        <v>0</v>
      </c>
      <c r="O203">
        <v>0</v>
      </c>
      <c r="P203">
        <v>-58022.559999999998</v>
      </c>
    </row>
    <row r="204" spans="1:16" x14ac:dyDescent="0.25">
      <c r="A204" t="s">
        <v>32</v>
      </c>
      <c r="B204" t="s">
        <v>32</v>
      </c>
      <c r="D204" t="s">
        <v>122</v>
      </c>
      <c r="E204" t="s">
        <v>122</v>
      </c>
      <c r="F204">
        <v>780000</v>
      </c>
      <c r="G204" t="s">
        <v>16</v>
      </c>
      <c r="H204">
        <v>104.56699999999999</v>
      </c>
      <c r="I204">
        <v>0</v>
      </c>
      <c r="J204">
        <v>803.4</v>
      </c>
      <c r="K204">
        <v>0</v>
      </c>
      <c r="L204">
        <v>0</v>
      </c>
      <c r="M204">
        <v>16022.5</v>
      </c>
      <c r="N204">
        <v>0</v>
      </c>
      <c r="O204">
        <v>0</v>
      </c>
      <c r="P204">
        <v>16825.900000000001</v>
      </c>
    </row>
    <row r="205" spans="1:16" x14ac:dyDescent="0.25">
      <c r="A205" t="s">
        <v>32</v>
      </c>
      <c r="B205" t="s">
        <v>32</v>
      </c>
      <c r="D205" t="s">
        <v>123</v>
      </c>
      <c r="E205" t="s">
        <v>123</v>
      </c>
      <c r="F205">
        <v>390000</v>
      </c>
      <c r="G205" t="s">
        <v>16</v>
      </c>
      <c r="H205">
        <v>104.65600000000001</v>
      </c>
      <c r="I205">
        <v>0</v>
      </c>
      <c r="J205">
        <v>1014</v>
      </c>
      <c r="K205">
        <v>0</v>
      </c>
      <c r="L205">
        <v>0</v>
      </c>
      <c r="M205">
        <v>8011.25</v>
      </c>
      <c r="N205">
        <v>0</v>
      </c>
      <c r="O205">
        <v>0</v>
      </c>
      <c r="P205">
        <v>9025.25</v>
      </c>
    </row>
    <row r="206" spans="1:16" x14ac:dyDescent="0.25">
      <c r="A206" t="s">
        <v>32</v>
      </c>
      <c r="B206" t="s">
        <v>32</v>
      </c>
      <c r="D206" t="s">
        <v>124</v>
      </c>
      <c r="E206" t="s">
        <v>124</v>
      </c>
      <c r="F206">
        <v>1560000</v>
      </c>
      <c r="G206" t="s">
        <v>17</v>
      </c>
      <c r="H206">
        <v>100.068</v>
      </c>
      <c r="I206">
        <v>0</v>
      </c>
      <c r="J206">
        <v>-14976.79</v>
      </c>
      <c r="K206">
        <v>0</v>
      </c>
      <c r="L206">
        <v>-37034.629999999997</v>
      </c>
      <c r="M206">
        <v>30159.01</v>
      </c>
      <c r="N206">
        <v>0</v>
      </c>
      <c r="O206">
        <v>0</v>
      </c>
      <c r="P206">
        <v>-21852.41</v>
      </c>
    </row>
    <row r="207" spans="1:16" x14ac:dyDescent="0.25">
      <c r="A207" t="s">
        <v>32</v>
      </c>
      <c r="B207" t="s">
        <v>32</v>
      </c>
      <c r="D207" t="s">
        <v>125</v>
      </c>
      <c r="E207" t="s">
        <v>125</v>
      </c>
      <c r="F207">
        <v>0</v>
      </c>
      <c r="G207" t="s">
        <v>16</v>
      </c>
      <c r="H207">
        <v>0</v>
      </c>
      <c r="I207">
        <v>10439.83</v>
      </c>
      <c r="J207">
        <v>88453.13</v>
      </c>
      <c r="K207">
        <v>0</v>
      </c>
      <c r="L207">
        <v>0</v>
      </c>
      <c r="M207">
        <v>0</v>
      </c>
      <c r="N207">
        <v>0</v>
      </c>
      <c r="O207">
        <v>-242.22000000000099</v>
      </c>
      <c r="P207">
        <v>98650.74</v>
      </c>
    </row>
    <row r="208" spans="1:16" x14ac:dyDescent="0.25">
      <c r="A208" t="s">
        <v>32</v>
      </c>
      <c r="B208" t="s">
        <v>32</v>
      </c>
      <c r="D208" t="s">
        <v>28</v>
      </c>
      <c r="E208" t="s">
        <v>28</v>
      </c>
      <c r="F208">
        <v>111</v>
      </c>
      <c r="G208" t="s">
        <v>16</v>
      </c>
      <c r="H208">
        <v>110.15625</v>
      </c>
      <c r="I208">
        <v>0</v>
      </c>
      <c r="J208">
        <v>-346691.79</v>
      </c>
      <c r="K208">
        <v>0</v>
      </c>
      <c r="L208">
        <v>0</v>
      </c>
      <c r="M208">
        <v>0</v>
      </c>
      <c r="N208">
        <v>0</v>
      </c>
      <c r="O208">
        <v>-224.219999999972</v>
      </c>
      <c r="P208">
        <v>-346916.01</v>
      </c>
    </row>
    <row r="209" spans="1:16" x14ac:dyDescent="0.25">
      <c r="A209" t="s">
        <v>32</v>
      </c>
      <c r="B209" t="s">
        <v>32</v>
      </c>
      <c r="D209" t="s">
        <v>16</v>
      </c>
      <c r="E209" t="s">
        <v>24</v>
      </c>
      <c r="F209">
        <v>19472189.030000001</v>
      </c>
      <c r="G209" t="s">
        <v>16</v>
      </c>
      <c r="H209">
        <v>1</v>
      </c>
      <c r="I209">
        <v>0</v>
      </c>
      <c r="J209">
        <v>0</v>
      </c>
      <c r="K209">
        <v>0.01</v>
      </c>
      <c r="L209">
        <v>0</v>
      </c>
      <c r="M209">
        <v>0</v>
      </c>
      <c r="N209">
        <v>0</v>
      </c>
      <c r="O209">
        <v>-737.300000000002</v>
      </c>
      <c r="P209">
        <v>-737.29000000000201</v>
      </c>
    </row>
    <row r="210" spans="1:16" x14ac:dyDescent="0.25">
      <c r="A210" t="s">
        <v>32</v>
      </c>
      <c r="B210" t="s">
        <v>32</v>
      </c>
      <c r="D210" t="s">
        <v>126</v>
      </c>
      <c r="E210" t="s">
        <v>126</v>
      </c>
      <c r="F210">
        <v>0</v>
      </c>
      <c r="G210" t="s">
        <v>16</v>
      </c>
      <c r="H210">
        <v>0</v>
      </c>
      <c r="I210">
        <v>36737.300000000003</v>
      </c>
      <c r="J210">
        <v>-41643.94</v>
      </c>
      <c r="K210">
        <v>0</v>
      </c>
      <c r="L210">
        <v>0</v>
      </c>
      <c r="M210">
        <v>11455</v>
      </c>
      <c r="N210">
        <v>0</v>
      </c>
      <c r="O210">
        <v>0</v>
      </c>
      <c r="P210">
        <v>6548.36</v>
      </c>
    </row>
    <row r="211" spans="1:16" x14ac:dyDescent="0.25">
      <c r="A211" t="s">
        <v>32</v>
      </c>
      <c r="B211" t="s">
        <v>32</v>
      </c>
      <c r="D211" t="s">
        <v>127</v>
      </c>
      <c r="E211" t="s">
        <v>127</v>
      </c>
      <c r="F211">
        <v>1134367.7042</v>
      </c>
      <c r="G211" t="s">
        <v>16</v>
      </c>
      <c r="H211">
        <v>108.35899999999999</v>
      </c>
      <c r="I211">
        <v>-634.01</v>
      </c>
      <c r="J211">
        <v>-9332.7800000000007</v>
      </c>
      <c r="K211">
        <v>-0.01</v>
      </c>
      <c r="L211">
        <v>0</v>
      </c>
      <c r="M211">
        <v>24543.52</v>
      </c>
      <c r="N211">
        <v>194.7</v>
      </c>
      <c r="O211">
        <v>0</v>
      </c>
      <c r="P211">
        <v>14771.42</v>
      </c>
    </row>
    <row r="212" spans="1:16" x14ac:dyDescent="0.25">
      <c r="A212" t="s">
        <v>32</v>
      </c>
      <c r="B212" t="s">
        <v>32</v>
      </c>
      <c r="D212" t="s">
        <v>128</v>
      </c>
      <c r="E212" t="s">
        <v>128</v>
      </c>
      <c r="F212">
        <v>1154439</v>
      </c>
      <c r="G212" t="s">
        <v>16</v>
      </c>
      <c r="H212">
        <v>105.477</v>
      </c>
      <c r="I212">
        <v>-530.65</v>
      </c>
      <c r="J212">
        <v>3024.57</v>
      </c>
      <c r="K212">
        <v>0</v>
      </c>
      <c r="L212">
        <v>0</v>
      </c>
      <c r="M212">
        <v>23815.040000000001</v>
      </c>
      <c r="N212">
        <v>0</v>
      </c>
      <c r="O212">
        <v>0</v>
      </c>
      <c r="P212">
        <v>26308.959999999999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Ferreira  ( M. SAFRA &amp; CO )</dc:creator>
  <cp:lastModifiedBy>Gustavo Ferreira  ( M. SAFRA &amp; CO )</cp:lastModifiedBy>
  <dcterms:created xsi:type="dcterms:W3CDTF">2026-02-18T14:22:11Z</dcterms:created>
  <dcterms:modified xsi:type="dcterms:W3CDTF">2026-03-30T16:18:52Z</dcterms:modified>
</cp:coreProperties>
</file>